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Assis\Documents\Governança Financeira e Negócios e Investimentos\Finanças\Clientes\Governança Financeira\Afocoop\Relatorios\Rateio - Acidentes\Analise dos rateios\FAP\2024\"/>
    </mc:Choice>
  </mc:AlternateContent>
  <xr:revisionPtr revIDLastSave="0" documentId="13_ncr:1_{8F27232D-F2EE-4738-8314-65DA98E3F521}" xr6:coauthVersionLast="47" xr6:coauthVersionMax="47" xr10:uidLastSave="{00000000-0000-0000-0000-000000000000}"/>
  <bookViews>
    <workbookView xWindow="-108" yWindow="-108" windowWidth="23256" windowHeight="12456" xr2:uid="{37B17226-7758-404D-B575-DE8ED6E64128}"/>
  </bookViews>
  <sheets>
    <sheet name="Resumo" sheetId="4" r:id="rId1"/>
    <sheet name="Acidentes" sheetId="1" r:id="rId2"/>
    <sheet name="Complementos" sheetId="2" r:id="rId3"/>
    <sheet name="Créditos" sheetId="3" r:id="rId4"/>
  </sheets>
  <definedNames>
    <definedName name="_xlnm._FilterDatabase" localSheetId="1" hidden="1">Acidentes!$A$2:$L$2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6" i="4"/>
  <c r="B5" i="4"/>
  <c r="J5" i="3"/>
  <c r="G42" i="2"/>
  <c r="I38" i="1"/>
  <c r="B9" i="4" l="1"/>
</calcChain>
</file>

<file path=xl/sharedStrings.xml><?xml version="1.0" encoding="utf-8"?>
<sst xmlns="http://schemas.openxmlformats.org/spreadsheetml/2006/main" count="260" uniqueCount="182">
  <si>
    <t>Associado</t>
  </si>
  <si>
    <t>Placa</t>
  </si>
  <si>
    <t>Perda</t>
  </si>
  <si>
    <t>Parcela</t>
  </si>
  <si>
    <t>Valor</t>
  </si>
  <si>
    <t>Serviços</t>
  </si>
  <si>
    <t>Total</t>
  </si>
  <si>
    <t>Unica</t>
  </si>
  <si>
    <t>TRANSPORTADORA JPM LTDA</t>
  </si>
  <si>
    <t>GILBERTO TRANSPORTES LTDA</t>
  </si>
  <si>
    <t>EXPRESSO MINAS FRIOS LTDA</t>
  </si>
  <si>
    <t>Complemento</t>
  </si>
  <si>
    <t>Data(comp)</t>
  </si>
  <si>
    <t>Valor(comp)</t>
  </si>
  <si>
    <t>TRANSPORTES E FRETAMENTO RODOBRUNO LTDA</t>
  </si>
  <si>
    <t>TRANSPORTADORA FONSECA E FILHOS LTDA</t>
  </si>
  <si>
    <t>Crédito</t>
  </si>
  <si>
    <t>CIVITEC COM. COMPON. P/ VEIC. LTDA</t>
  </si>
  <si>
    <t>AAA-1111</t>
  </si>
  <si>
    <t>Roubo</t>
  </si>
  <si>
    <t>OLIVEIRA E COIMBRA TRANSPORTES LTDA ME</t>
  </si>
  <si>
    <t>JOAQUIM DOS REIS SANTANA</t>
  </si>
  <si>
    <t>TRANSPORTADORA ASA SUL LTDA ME</t>
  </si>
  <si>
    <t>Acidentes</t>
  </si>
  <si>
    <t>Complementos</t>
  </si>
  <si>
    <t>Créditos</t>
  </si>
  <si>
    <t>Descrição</t>
  </si>
  <si>
    <t>Taxa Adm</t>
  </si>
  <si>
    <t>Data</t>
  </si>
  <si>
    <t>RG10 LOGISTICA E TRANSPORTE LTDA</t>
  </si>
  <si>
    <t>SANTOS E SANTANA TRANSPORTES LTDA - ME</t>
  </si>
  <si>
    <t>KL TRANSPORTES LTDA ME</t>
  </si>
  <si>
    <t>TRANSPORTADORA IRMAOS VIEIRA LTDA</t>
  </si>
  <si>
    <t>Acidente</t>
  </si>
  <si>
    <t>L M - LOGISTICA EM CARGAS E TRANSPORTES LTDA</t>
  </si>
  <si>
    <t>RFP1E19</t>
  </si>
  <si>
    <t>SUCOTE TRANSPORTES LTDA</t>
  </si>
  <si>
    <t>SIZ2B24</t>
  </si>
  <si>
    <t>UNIAO LOGISTICA ARMAZENAGEM LTDA</t>
  </si>
  <si>
    <t>HOA-1480</t>
  </si>
  <si>
    <t>EXPRESSO RIBEIRO CANDEIAS LTDA</t>
  </si>
  <si>
    <t>RTZ7J26</t>
  </si>
  <si>
    <t>TRANSPORTE RODOVIARIO MARTE LTDA</t>
  </si>
  <si>
    <t>RFM7H32</t>
  </si>
  <si>
    <t>VF TRANSPORTES LTDA</t>
  </si>
  <si>
    <t>RMQ2I28</t>
  </si>
  <si>
    <t>VITÓRIA E FERREIRA TRANSPORTES LTDA ME</t>
  </si>
  <si>
    <t>SHF7G66</t>
  </si>
  <si>
    <t>RUF8C22</t>
  </si>
  <si>
    <t>MARDEN FREIRE</t>
  </si>
  <si>
    <t>RMV3A56</t>
  </si>
  <si>
    <t>RMSS LOGISTICA E TRANSPORTES LTDA</t>
  </si>
  <si>
    <t>RBG7J86</t>
  </si>
  <si>
    <t>PLA6I53</t>
  </si>
  <si>
    <t>MATHEUS ERICK CAMPOS ARAUJO LTDA</t>
  </si>
  <si>
    <t>GAG5I71</t>
  </si>
  <si>
    <t>TR GERAIS LOGISTICA E TRANSPORTES LTDA</t>
  </si>
  <si>
    <t>RFW3A00</t>
  </si>
  <si>
    <t>QPX-7623</t>
  </si>
  <si>
    <t>DENILSON DE FREITAS TRANSPORTES</t>
  </si>
  <si>
    <t>MSD-6904</t>
  </si>
  <si>
    <t>DIRLEI GOMES GUIMARAES</t>
  </si>
  <si>
    <t>QRF5F03</t>
  </si>
  <si>
    <t>EDUARDO SANTOS CAMARGOS</t>
  </si>
  <si>
    <t>PPG4H63</t>
  </si>
  <si>
    <t>SAMATRA COMERCIO E TRANSPORTES LTDA - EPP</t>
  </si>
  <si>
    <t>QPF-9663</t>
  </si>
  <si>
    <t>ALUCIMAR JOSE QUEIROZ</t>
  </si>
  <si>
    <t>PUQ2H28</t>
  </si>
  <si>
    <t>TCM TRINDADE LOGISTICA E TRANSPORTES CANDEIAS MINAS LTDA</t>
  </si>
  <si>
    <t>BKX-6314</t>
  </si>
  <si>
    <t>EXPRESSO NOSSA SENHORA APARECIDA LTDA-ME</t>
  </si>
  <si>
    <t>RBR5I70</t>
  </si>
  <si>
    <t>RMT1D12</t>
  </si>
  <si>
    <t>DI FARIA TRANSPORTES LTDA - EPP</t>
  </si>
  <si>
    <t>FYM4E47</t>
  </si>
  <si>
    <t>TRANSPORTES BORGES E FILHOS LTDA</t>
  </si>
  <si>
    <t>SHQ7F73</t>
  </si>
  <si>
    <t>3 M ENERGETICA LTDA</t>
  </si>
  <si>
    <t>TCA2E48</t>
  </si>
  <si>
    <t>HOA-1483</t>
  </si>
  <si>
    <t>TRANS START COMERCIO E TRANSPORTES LTDA</t>
  </si>
  <si>
    <t>SJF9C10</t>
  </si>
  <si>
    <t>WELLITON JOÃO MENDES</t>
  </si>
  <si>
    <t>OQG1A16</t>
  </si>
  <si>
    <t>ATP5I13</t>
  </si>
  <si>
    <t>JULIO CEZAR SILVA</t>
  </si>
  <si>
    <t>HFD-3288</t>
  </si>
  <si>
    <t>G2 LOG TRANSPORTE E COMERCIO EIRELI</t>
  </si>
  <si>
    <t>PUT-1414</t>
  </si>
  <si>
    <t>LUJUAN LUCAS ARAUJO SILVA EIRELI</t>
  </si>
  <si>
    <t>QXG-3544</t>
  </si>
  <si>
    <t>LM TRANSPORTES E LOCACAO LTDA</t>
  </si>
  <si>
    <t>QOZ6F73</t>
  </si>
  <si>
    <t>RMR7J60</t>
  </si>
  <si>
    <t>R C A TRANSPORTES LTDA</t>
  </si>
  <si>
    <t>RIR7F21</t>
  </si>
  <si>
    <t>6-581</t>
  </si>
  <si>
    <t>6-584</t>
  </si>
  <si>
    <t>3187-2</t>
  </si>
  <si>
    <t>LUCIFRANCE FABIANO BATISTA DE OLIVEIRA</t>
  </si>
  <si>
    <t>RFQ7H77</t>
  </si>
  <si>
    <t>3181-3</t>
  </si>
  <si>
    <t>BRUNO HENRIQUE DE SOUZA SILVA</t>
  </si>
  <si>
    <t>QQB-0266</t>
  </si>
  <si>
    <t>3219-14</t>
  </si>
  <si>
    <t>RTB7J63</t>
  </si>
  <si>
    <t>3236-3</t>
  </si>
  <si>
    <t>CLAUDIO JOSE DE RESENDE</t>
  </si>
  <si>
    <t>GVJ-3504</t>
  </si>
  <si>
    <t>3248-10</t>
  </si>
  <si>
    <t>RNW6J36</t>
  </si>
  <si>
    <t>3271-2</t>
  </si>
  <si>
    <t>JOSE ANTONIO DE SOUSA</t>
  </si>
  <si>
    <t>QXI-9855</t>
  </si>
  <si>
    <t>3295-7</t>
  </si>
  <si>
    <t>QOJ-6949</t>
  </si>
  <si>
    <t>3295-6</t>
  </si>
  <si>
    <t>3300-2</t>
  </si>
  <si>
    <t>GEILSON VINICIUS FERREIRA DE LIMA EIRELI</t>
  </si>
  <si>
    <t>OWS-5947</t>
  </si>
  <si>
    <t>3300-3</t>
  </si>
  <si>
    <t>3315-7</t>
  </si>
  <si>
    <t>POUPY DISTRIBUIDORA COMERCIAL LTDA</t>
  </si>
  <si>
    <t>OQF-5485</t>
  </si>
  <si>
    <t>3322-1</t>
  </si>
  <si>
    <t>RHC6E32</t>
  </si>
  <si>
    <t>3324-2</t>
  </si>
  <si>
    <t>TRANSPORTES BORGES E MAIS LTDA</t>
  </si>
  <si>
    <t>SHR0G74</t>
  </si>
  <si>
    <t>3334-2</t>
  </si>
  <si>
    <t>DORJO TRANSPORTADORA LTDA</t>
  </si>
  <si>
    <t>RFS6H23</t>
  </si>
  <si>
    <t>3334-3</t>
  </si>
  <si>
    <t>3355-2</t>
  </si>
  <si>
    <t>CENTRO OESTE TRANSPORTES E COMERCIO DE CALCARIO LTDA</t>
  </si>
  <si>
    <t>QXO9E55</t>
  </si>
  <si>
    <t>3356-5</t>
  </si>
  <si>
    <t>IXX-9126</t>
  </si>
  <si>
    <t>3363-3</t>
  </si>
  <si>
    <t>GILSON TRANSPORTES LTDA</t>
  </si>
  <si>
    <t>PXR-2577</t>
  </si>
  <si>
    <t>3363-2</t>
  </si>
  <si>
    <t>3363-1</t>
  </si>
  <si>
    <t>3370-1</t>
  </si>
  <si>
    <t>BRUTUS TRANSPORTES RODOVIARIOS DE CARGA LTDA - ME</t>
  </si>
  <si>
    <t>QNY-2821</t>
  </si>
  <si>
    <t>3374-1</t>
  </si>
  <si>
    <t>DIX0J47</t>
  </si>
  <si>
    <t>3373-2</t>
  </si>
  <si>
    <t>NYE7D01</t>
  </si>
  <si>
    <t>3377-1</t>
  </si>
  <si>
    <t>TWM TRANSPORTES ESPECIAIS LTDA</t>
  </si>
  <si>
    <t>JBW4G98</t>
  </si>
  <si>
    <t>3381-1</t>
  </si>
  <si>
    <t>JOSE CARLOS DE OLIVEIRA</t>
  </si>
  <si>
    <t>OWL-7139</t>
  </si>
  <si>
    <t>3390-2</t>
  </si>
  <si>
    <t>QOV-5935</t>
  </si>
  <si>
    <t>3386-2</t>
  </si>
  <si>
    <t>QIV-8165</t>
  </si>
  <si>
    <t>3391-2</t>
  </si>
  <si>
    <t>PYC-2955</t>
  </si>
  <si>
    <t>3393-2</t>
  </si>
  <si>
    <t>TRANSPORTES FILINTO LTDA ME</t>
  </si>
  <si>
    <t>RVE2F36</t>
  </si>
  <si>
    <t>3394-1</t>
  </si>
  <si>
    <t>RBB5E94</t>
  </si>
  <si>
    <t>3394-2</t>
  </si>
  <si>
    <t>3405-1</t>
  </si>
  <si>
    <t>SHE5C86</t>
  </si>
  <si>
    <t>3406-2</t>
  </si>
  <si>
    <t>PYQ-1430</t>
  </si>
  <si>
    <t>3406-1</t>
  </si>
  <si>
    <t>3414-1</t>
  </si>
  <si>
    <t>SYI2D09</t>
  </si>
  <si>
    <t>3419-2</t>
  </si>
  <si>
    <t>WALMIR DO CARMO SILVA JUNIOR</t>
  </si>
  <si>
    <t>EJV8A26</t>
  </si>
  <si>
    <t>3419-1</t>
  </si>
  <si>
    <t>3222-2</t>
  </si>
  <si>
    <t>HIV0H00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</si>
</sst>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name val="Verdana"/>
      <family val="2"/>
    </font>
    <font>
      <sz val="11"/>
      <name val="Aptos Narrow"/>
      <family val="2"/>
      <scheme val="minor"/>
    </font>
    <font>
      <sz val="7"/>
      <name val="Verdana"/>
      <family val="2"/>
    </font>
    <font>
      <b/>
      <sz val="7"/>
      <color rgb="FF000000"/>
      <name val="Verdana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0" applyNumberFormat="0" applyBorder="0" applyAlignment="0" applyProtection="0"/>
  </cellStyleXfs>
  <cellXfs count="37">
    <xf numFmtId="0" fontId="0" fillId="0" borderId="0" xfId="0"/>
    <xf numFmtId="43" fontId="4" fillId="0" borderId="1" xfId="1" applyFont="1" applyFill="1" applyBorder="1" applyAlignment="1">
      <alignment horizontal="righ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3" fontId="3" fillId="0" borderId="0" xfId="1" applyFont="1" applyFill="1" applyBorder="1"/>
    <xf numFmtId="0" fontId="3" fillId="0" borderId="0" xfId="0" applyFont="1" applyAlignment="1">
      <alignment horizontal="center"/>
    </xf>
    <xf numFmtId="43" fontId="3" fillId="0" borderId="0" xfId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43" fontId="0" fillId="0" borderId="2" xfId="1" applyFont="1" applyBorder="1" applyAlignment="1">
      <alignment horizontal="center"/>
    </xf>
    <xf numFmtId="4" fontId="5" fillId="0" borderId="0" xfId="0" applyNumberFormat="1" applyFont="1"/>
    <xf numFmtId="9" fontId="0" fillId="0" borderId="0" xfId="2" applyFont="1"/>
    <xf numFmtId="0" fontId="7" fillId="2" borderId="2" xfId="3" applyBorder="1" applyAlignment="1">
      <alignment horizontal="center"/>
    </xf>
    <xf numFmtId="0" fontId="7" fillId="2" borderId="2" xfId="3" applyBorder="1" applyAlignment="1">
      <alignment horizontal="left"/>
    </xf>
    <xf numFmtId="43" fontId="7" fillId="2" borderId="2" xfId="3" applyNumberFormat="1" applyBorder="1" applyAlignment="1">
      <alignment horizontal="center"/>
    </xf>
    <xf numFmtId="0" fontId="6" fillId="0" borderId="0" xfId="3" applyFont="1" applyFill="1" applyBorder="1" applyAlignment="1">
      <alignment horizontal="center" vertical="center" wrapText="1"/>
    </xf>
    <xf numFmtId="4" fontId="7" fillId="0" borderId="0" xfId="3" applyNumberFormat="1" applyFill="1" applyBorder="1" applyAlignment="1">
      <alignment horizontal="center"/>
    </xf>
    <xf numFmtId="43" fontId="2" fillId="0" borderId="1" xfId="1" applyFont="1" applyFill="1" applyBorder="1" applyAlignment="1">
      <alignment horizontal="right" vertical="center" wrapText="1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horizontal="center" vertical="center"/>
    </xf>
    <xf numFmtId="0" fontId="7" fillId="0" borderId="0" xfId="3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 wrapText="1"/>
    </xf>
    <xf numFmtId="4" fontId="4" fillId="0" borderId="0" xfId="0" applyNumberFormat="1" applyFont="1" applyBorder="1" applyAlignment="1">
      <alignment horizontal="center" vertical="center" wrapText="1"/>
    </xf>
    <xf numFmtId="4" fontId="4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3" fillId="0" borderId="0" xfId="0" applyFont="1" applyFill="1"/>
    <xf numFmtId="43" fontId="3" fillId="0" borderId="0" xfId="1" applyFont="1" applyFill="1" applyAlignment="1">
      <alignment horizontal="center" vertical="center"/>
    </xf>
  </cellXfs>
  <cellStyles count="4">
    <cellStyle name="Ênfase6" xfId="3" builtinId="49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F993-75F6-4DB6-B9DC-4CB54E1D758D}">
  <dimension ref="A4:E10"/>
  <sheetViews>
    <sheetView showGridLines="0" tabSelected="1" workbookViewId="0">
      <selection activeCell="B7" sqref="B7"/>
    </sheetView>
  </sheetViews>
  <sheetFormatPr defaultRowHeight="14.4" x14ac:dyDescent="0.3"/>
  <cols>
    <col min="1" max="1" width="13.33203125" bestFit="1" customWidth="1"/>
    <col min="2" max="2" width="13.109375" bestFit="1" customWidth="1"/>
    <col min="3" max="3" width="8.77734375" customWidth="1"/>
    <col min="4" max="4" width="7.109375" customWidth="1"/>
    <col min="5" max="5" width="11.33203125" bestFit="1" customWidth="1"/>
    <col min="6" max="6" width="6.88671875" bestFit="1" customWidth="1"/>
    <col min="7" max="7" width="7.21875" bestFit="1" customWidth="1"/>
    <col min="8" max="8" width="5.88671875" bestFit="1" customWidth="1"/>
    <col min="9" max="9" width="6.88671875" bestFit="1" customWidth="1"/>
    <col min="10" max="10" width="7.21875" bestFit="1" customWidth="1"/>
  </cols>
  <sheetData>
    <row r="4" spans="1:5" x14ac:dyDescent="0.3">
      <c r="A4" s="11" t="s">
        <v>26</v>
      </c>
      <c r="B4" s="11" t="s">
        <v>4</v>
      </c>
    </row>
    <row r="5" spans="1:5" x14ac:dyDescent="0.3">
      <c r="A5" s="7" t="s">
        <v>23</v>
      </c>
      <c r="B5" s="8">
        <f>Acidentes!I38</f>
        <v>4228719.29</v>
      </c>
    </row>
    <row r="6" spans="1:5" x14ac:dyDescent="0.3">
      <c r="A6" s="7" t="s">
        <v>24</v>
      </c>
      <c r="B6" s="8">
        <f>Complementos!G42</f>
        <v>181416.72</v>
      </c>
    </row>
    <row r="7" spans="1:5" x14ac:dyDescent="0.3">
      <c r="A7" s="7" t="s">
        <v>25</v>
      </c>
      <c r="B7" s="8">
        <f>Créditos!J5</f>
        <v>-4630</v>
      </c>
    </row>
    <row r="8" spans="1:5" x14ac:dyDescent="0.3">
      <c r="A8" s="7" t="s">
        <v>27</v>
      </c>
      <c r="B8" s="8">
        <v>1807924.8</v>
      </c>
    </row>
    <row r="9" spans="1:5" x14ac:dyDescent="0.3">
      <c r="A9" s="12" t="s">
        <v>6</v>
      </c>
      <c r="B9" s="13">
        <f>SUM(B5:B8)</f>
        <v>6213430.8099999996</v>
      </c>
      <c r="E9" s="9"/>
    </row>
    <row r="10" spans="1:5" x14ac:dyDescent="0.3">
      <c r="E10" s="1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9802-8C6B-475A-BF86-52B07557C066}">
  <dimension ref="A2:M44"/>
  <sheetViews>
    <sheetView showGridLines="0" topLeftCell="A30" workbookViewId="0">
      <selection activeCell="I39" sqref="I39"/>
    </sheetView>
  </sheetViews>
  <sheetFormatPr defaultColWidth="7.109375" defaultRowHeight="14.4" x14ac:dyDescent="0.3"/>
  <cols>
    <col min="1" max="1" width="11.5546875" style="26" bestFit="1" customWidth="1"/>
    <col min="2" max="2" width="35.5546875" style="26" bestFit="1" customWidth="1"/>
    <col min="3" max="3" width="10" style="26" bestFit="1" customWidth="1"/>
    <col min="4" max="4" width="12.5546875" style="27" bestFit="1" customWidth="1"/>
    <col min="5" max="6" width="11.5546875" style="27" bestFit="1" customWidth="1"/>
    <col min="7" max="7" width="18.33203125" style="27" bestFit="1" customWidth="1"/>
    <col min="8" max="9" width="22.5546875" style="27" bestFit="1" customWidth="1"/>
    <col min="10" max="10" width="9.6640625" style="26" bestFit="1" customWidth="1"/>
    <col min="11" max="11" width="11.33203125" style="26" bestFit="1" customWidth="1"/>
    <col min="12" max="12" width="11.6640625" style="26" bestFit="1" customWidth="1"/>
    <col min="13" max="16384" width="7.109375" style="21"/>
  </cols>
  <sheetData>
    <row r="2" spans="1:13" x14ac:dyDescent="0.3">
      <c r="A2" s="28" t="s">
        <v>33</v>
      </c>
      <c r="B2" s="28" t="s">
        <v>0</v>
      </c>
      <c r="C2" s="29" t="s">
        <v>1</v>
      </c>
      <c r="D2" s="29" t="s">
        <v>28</v>
      </c>
      <c r="E2" s="29" t="s">
        <v>2</v>
      </c>
      <c r="F2" s="29" t="s">
        <v>3</v>
      </c>
      <c r="G2" s="30" t="s">
        <v>4</v>
      </c>
      <c r="H2" s="30" t="s">
        <v>5</v>
      </c>
      <c r="I2" s="30" t="s">
        <v>6</v>
      </c>
      <c r="J2" s="14"/>
      <c r="K2" s="14"/>
      <c r="L2" s="14"/>
      <c r="M2" s="20"/>
    </row>
    <row r="3" spans="1:13" ht="18" x14ac:dyDescent="0.3">
      <c r="A3" s="31">
        <v>3223</v>
      </c>
      <c r="B3" s="31" t="s">
        <v>34</v>
      </c>
      <c r="C3" s="31" t="s">
        <v>35</v>
      </c>
      <c r="D3" s="32">
        <v>45383</v>
      </c>
      <c r="E3" s="31"/>
      <c r="F3" s="31" t="s">
        <v>7</v>
      </c>
      <c r="G3" s="33">
        <v>19500</v>
      </c>
      <c r="H3" s="34">
        <v>0</v>
      </c>
      <c r="I3" s="33">
        <v>19500</v>
      </c>
      <c r="J3" s="24"/>
      <c r="K3" s="22"/>
      <c r="L3" s="24"/>
      <c r="M3" s="25"/>
    </row>
    <row r="4" spans="1:13" x14ac:dyDescent="0.3">
      <c r="A4" s="31">
        <v>3383</v>
      </c>
      <c r="B4" s="31" t="s">
        <v>36</v>
      </c>
      <c r="C4" s="31" t="s">
        <v>37</v>
      </c>
      <c r="D4" s="32">
        <v>45520</v>
      </c>
      <c r="E4" s="31"/>
      <c r="F4" s="31" t="s">
        <v>7</v>
      </c>
      <c r="G4" s="33">
        <v>318000</v>
      </c>
      <c r="H4" s="34">
        <v>0</v>
      </c>
      <c r="I4" s="33">
        <v>318000</v>
      </c>
      <c r="J4" s="24"/>
      <c r="K4" s="22"/>
      <c r="L4" s="24"/>
      <c r="M4" s="25"/>
    </row>
    <row r="5" spans="1:13" x14ac:dyDescent="0.3">
      <c r="A5" s="31">
        <v>3388</v>
      </c>
      <c r="B5" s="31" t="s">
        <v>38</v>
      </c>
      <c r="C5" s="31" t="s">
        <v>39</v>
      </c>
      <c r="D5" s="32">
        <v>45517</v>
      </c>
      <c r="E5" s="31"/>
      <c r="F5" s="31" t="s">
        <v>7</v>
      </c>
      <c r="G5" s="33">
        <v>4692</v>
      </c>
      <c r="H5" s="34">
        <v>0</v>
      </c>
      <c r="I5" s="33">
        <v>4692</v>
      </c>
      <c r="J5" s="24"/>
      <c r="K5" s="22"/>
      <c r="L5" s="24"/>
      <c r="M5" s="25"/>
    </row>
    <row r="6" spans="1:13" x14ac:dyDescent="0.3">
      <c r="A6" s="31">
        <v>3410</v>
      </c>
      <c r="B6" s="31" t="s">
        <v>40</v>
      </c>
      <c r="C6" s="31" t="s">
        <v>41</v>
      </c>
      <c r="D6" s="32">
        <v>45552</v>
      </c>
      <c r="E6" s="31"/>
      <c r="F6" s="31" t="s">
        <v>7</v>
      </c>
      <c r="G6" s="33">
        <v>757931.6</v>
      </c>
      <c r="H6" s="34">
        <v>0</v>
      </c>
      <c r="I6" s="33">
        <v>757931.6</v>
      </c>
      <c r="J6" s="24"/>
      <c r="K6" s="22"/>
      <c r="L6" s="24"/>
      <c r="M6" s="25"/>
    </row>
    <row r="7" spans="1:13" x14ac:dyDescent="0.3">
      <c r="A7" s="31">
        <v>3413</v>
      </c>
      <c r="B7" s="31" t="s">
        <v>42</v>
      </c>
      <c r="C7" s="31" t="s">
        <v>43</v>
      </c>
      <c r="D7" s="32">
        <v>45552</v>
      </c>
      <c r="E7" s="31"/>
      <c r="F7" s="31" t="s">
        <v>7</v>
      </c>
      <c r="G7" s="33">
        <v>35910</v>
      </c>
      <c r="H7" s="34">
        <v>0</v>
      </c>
      <c r="I7" s="33">
        <v>35910</v>
      </c>
      <c r="J7" s="24"/>
      <c r="K7" s="22"/>
      <c r="L7" s="24"/>
      <c r="M7" s="25"/>
    </row>
    <row r="8" spans="1:13" x14ac:dyDescent="0.3">
      <c r="A8" s="31">
        <v>3415</v>
      </c>
      <c r="B8" s="31" t="s">
        <v>44</v>
      </c>
      <c r="C8" s="31" t="s">
        <v>45</v>
      </c>
      <c r="D8" s="32">
        <v>45554</v>
      </c>
      <c r="E8" s="31"/>
      <c r="F8" s="31" t="s">
        <v>7</v>
      </c>
      <c r="G8" s="33">
        <v>237658.3</v>
      </c>
      <c r="H8" s="34">
        <v>0</v>
      </c>
      <c r="I8" s="33">
        <v>237658.3</v>
      </c>
      <c r="J8" s="24"/>
      <c r="K8" s="22"/>
      <c r="L8" s="24"/>
      <c r="M8" s="25"/>
    </row>
    <row r="9" spans="1:13" x14ac:dyDescent="0.3">
      <c r="A9" s="31">
        <v>3416</v>
      </c>
      <c r="B9" s="31" t="s">
        <v>46</v>
      </c>
      <c r="C9" s="31" t="s">
        <v>47</v>
      </c>
      <c r="D9" s="32">
        <v>45554</v>
      </c>
      <c r="E9" s="31"/>
      <c r="F9" s="31" t="s">
        <v>7</v>
      </c>
      <c r="G9" s="33">
        <v>55250</v>
      </c>
      <c r="H9" s="34">
        <v>0</v>
      </c>
      <c r="I9" s="33">
        <v>55250</v>
      </c>
      <c r="J9" s="24"/>
      <c r="K9" s="22"/>
      <c r="L9" s="24"/>
      <c r="M9" s="25"/>
    </row>
    <row r="10" spans="1:13" x14ac:dyDescent="0.3">
      <c r="A10" s="31">
        <v>3417</v>
      </c>
      <c r="B10" s="31" t="s">
        <v>14</v>
      </c>
      <c r="C10" s="31" t="s">
        <v>48</v>
      </c>
      <c r="D10" s="32">
        <v>45555</v>
      </c>
      <c r="E10" s="31"/>
      <c r="F10" s="31" t="s">
        <v>7</v>
      </c>
      <c r="G10" s="33">
        <v>155879</v>
      </c>
      <c r="H10" s="34">
        <v>0</v>
      </c>
      <c r="I10" s="33">
        <v>155879</v>
      </c>
      <c r="J10" s="24"/>
      <c r="K10" s="22"/>
      <c r="L10" s="24"/>
      <c r="M10" s="25"/>
    </row>
    <row r="11" spans="1:13" x14ac:dyDescent="0.3">
      <c r="A11" s="31">
        <v>3420</v>
      </c>
      <c r="B11" s="31" t="s">
        <v>49</v>
      </c>
      <c r="C11" s="31" t="s">
        <v>50</v>
      </c>
      <c r="D11" s="32">
        <v>45559</v>
      </c>
      <c r="E11" s="31"/>
      <c r="F11" s="31" t="s">
        <v>7</v>
      </c>
      <c r="G11" s="33">
        <v>43050</v>
      </c>
      <c r="H11" s="34">
        <v>0</v>
      </c>
      <c r="I11" s="33">
        <v>43050</v>
      </c>
      <c r="J11" s="24"/>
      <c r="K11" s="22"/>
      <c r="L11" s="24"/>
      <c r="M11" s="25"/>
    </row>
    <row r="12" spans="1:13" x14ac:dyDescent="0.3">
      <c r="A12" s="31">
        <v>3422</v>
      </c>
      <c r="B12" s="31" t="s">
        <v>51</v>
      </c>
      <c r="C12" s="31" t="s">
        <v>52</v>
      </c>
      <c r="D12" s="32">
        <v>45560</v>
      </c>
      <c r="E12" s="31"/>
      <c r="F12" s="31" t="s">
        <v>7</v>
      </c>
      <c r="G12" s="33">
        <v>413800</v>
      </c>
      <c r="H12" s="34">
        <v>0</v>
      </c>
      <c r="I12" s="33">
        <v>413800</v>
      </c>
      <c r="J12" s="24"/>
      <c r="K12" s="22"/>
      <c r="L12" s="24"/>
      <c r="M12" s="25"/>
    </row>
    <row r="13" spans="1:13" x14ac:dyDescent="0.3">
      <c r="A13" s="31">
        <v>3423</v>
      </c>
      <c r="B13" s="31" t="s">
        <v>32</v>
      </c>
      <c r="C13" s="31" t="s">
        <v>53</v>
      </c>
      <c r="D13" s="32">
        <v>45560</v>
      </c>
      <c r="E13" s="31"/>
      <c r="F13" s="31" t="s">
        <v>7</v>
      </c>
      <c r="G13" s="33">
        <v>245000</v>
      </c>
      <c r="H13" s="34">
        <v>0</v>
      </c>
      <c r="I13" s="33">
        <v>245000</v>
      </c>
      <c r="J13" s="24"/>
      <c r="K13" s="22"/>
      <c r="L13" s="24"/>
      <c r="M13" s="25"/>
    </row>
    <row r="14" spans="1:13" x14ac:dyDescent="0.3">
      <c r="A14" s="31">
        <v>3424</v>
      </c>
      <c r="B14" s="31" t="s">
        <v>54</v>
      </c>
      <c r="C14" s="31" t="s">
        <v>55</v>
      </c>
      <c r="D14" s="32">
        <v>45564</v>
      </c>
      <c r="E14" s="31"/>
      <c r="F14" s="31" t="s">
        <v>7</v>
      </c>
      <c r="G14" s="33">
        <v>151409.4</v>
      </c>
      <c r="H14" s="34">
        <v>0</v>
      </c>
      <c r="I14" s="33">
        <v>151409.4</v>
      </c>
      <c r="J14" s="24"/>
      <c r="K14" s="22"/>
      <c r="L14" s="24"/>
      <c r="M14" s="25"/>
    </row>
    <row r="15" spans="1:13" x14ac:dyDescent="0.3">
      <c r="A15" s="31">
        <v>3425</v>
      </c>
      <c r="B15" s="31" t="s">
        <v>56</v>
      </c>
      <c r="C15" s="31" t="s">
        <v>57</v>
      </c>
      <c r="D15" s="32">
        <v>45564</v>
      </c>
      <c r="E15" s="31"/>
      <c r="F15" s="31" t="s">
        <v>7</v>
      </c>
      <c r="G15" s="33">
        <v>198498.8</v>
      </c>
      <c r="H15" s="34">
        <v>0</v>
      </c>
      <c r="I15" s="33">
        <v>198498.8</v>
      </c>
      <c r="J15" s="24"/>
      <c r="K15" s="22"/>
      <c r="L15" s="24"/>
      <c r="M15" s="25"/>
    </row>
    <row r="16" spans="1:13" x14ac:dyDescent="0.3">
      <c r="A16" s="31">
        <v>3427</v>
      </c>
      <c r="B16" s="31" t="s">
        <v>21</v>
      </c>
      <c r="C16" s="31" t="s">
        <v>58</v>
      </c>
      <c r="D16" s="32">
        <v>45565</v>
      </c>
      <c r="E16" s="31"/>
      <c r="F16" s="31" t="s">
        <v>7</v>
      </c>
      <c r="G16" s="33">
        <v>209328</v>
      </c>
      <c r="H16" s="34">
        <v>0</v>
      </c>
      <c r="I16" s="33">
        <v>209328</v>
      </c>
      <c r="J16" s="24"/>
      <c r="K16" s="22"/>
      <c r="L16" s="24"/>
      <c r="M16" s="25"/>
    </row>
    <row r="17" spans="1:13" x14ac:dyDescent="0.3">
      <c r="A17" s="31">
        <v>3428</v>
      </c>
      <c r="B17" s="31" t="s">
        <v>59</v>
      </c>
      <c r="C17" s="31" t="s">
        <v>60</v>
      </c>
      <c r="D17" s="32">
        <v>45560</v>
      </c>
      <c r="E17" s="31"/>
      <c r="F17" s="31" t="s">
        <v>7</v>
      </c>
      <c r="G17" s="33">
        <v>12455.19</v>
      </c>
      <c r="H17" s="34">
        <v>0</v>
      </c>
      <c r="I17" s="33">
        <v>12455.19</v>
      </c>
      <c r="J17" s="24"/>
      <c r="K17" s="22"/>
      <c r="L17" s="24"/>
      <c r="M17" s="25"/>
    </row>
    <row r="18" spans="1:13" x14ac:dyDescent="0.3">
      <c r="A18" s="31">
        <v>3429</v>
      </c>
      <c r="B18" s="31" t="s">
        <v>61</v>
      </c>
      <c r="C18" s="31" t="s">
        <v>62</v>
      </c>
      <c r="D18" s="32">
        <v>45566</v>
      </c>
      <c r="E18" s="31"/>
      <c r="F18" s="31" t="s">
        <v>7</v>
      </c>
      <c r="G18" s="33">
        <v>248700</v>
      </c>
      <c r="H18" s="34">
        <v>0</v>
      </c>
      <c r="I18" s="33">
        <v>248700</v>
      </c>
      <c r="J18" s="24"/>
      <c r="K18" s="22"/>
      <c r="L18" s="24"/>
      <c r="M18" s="25"/>
    </row>
    <row r="19" spans="1:13" x14ac:dyDescent="0.3">
      <c r="A19" s="31">
        <v>3431</v>
      </c>
      <c r="B19" s="31" t="s">
        <v>63</v>
      </c>
      <c r="C19" s="31" t="s">
        <v>64</v>
      </c>
      <c r="D19" s="32">
        <v>45566</v>
      </c>
      <c r="E19" s="31"/>
      <c r="F19" s="31" t="s">
        <v>7</v>
      </c>
      <c r="G19" s="33">
        <v>27950</v>
      </c>
      <c r="H19" s="34">
        <v>0</v>
      </c>
      <c r="I19" s="33">
        <v>27950</v>
      </c>
      <c r="J19" s="24"/>
      <c r="K19" s="22"/>
      <c r="L19" s="24"/>
      <c r="M19" s="25"/>
    </row>
    <row r="20" spans="1:13" x14ac:dyDescent="0.3">
      <c r="A20" s="31">
        <v>3434</v>
      </c>
      <c r="B20" s="31" t="s">
        <v>65</v>
      </c>
      <c r="C20" s="31" t="s">
        <v>66</v>
      </c>
      <c r="D20" s="32">
        <v>45569</v>
      </c>
      <c r="E20" s="31"/>
      <c r="F20" s="31" t="s">
        <v>7</v>
      </c>
      <c r="G20" s="33">
        <v>83300</v>
      </c>
      <c r="H20" s="34">
        <v>0</v>
      </c>
      <c r="I20" s="33">
        <v>83300</v>
      </c>
      <c r="J20" s="24"/>
      <c r="K20" s="22"/>
      <c r="L20" s="24"/>
      <c r="M20" s="25"/>
    </row>
    <row r="21" spans="1:13" x14ac:dyDescent="0.3">
      <c r="A21" s="31">
        <v>3435</v>
      </c>
      <c r="B21" s="31" t="s">
        <v>67</v>
      </c>
      <c r="C21" s="31" t="s">
        <v>68</v>
      </c>
      <c r="D21" s="32">
        <v>45568</v>
      </c>
      <c r="E21" s="31"/>
      <c r="F21" s="31" t="s">
        <v>7</v>
      </c>
      <c r="G21" s="33">
        <v>6250</v>
      </c>
      <c r="H21" s="34">
        <v>0</v>
      </c>
      <c r="I21" s="33">
        <v>6250</v>
      </c>
      <c r="J21" s="24"/>
      <c r="K21" s="22"/>
      <c r="L21" s="24"/>
      <c r="M21" s="25"/>
    </row>
    <row r="22" spans="1:13" ht="18" x14ac:dyDescent="0.3">
      <c r="A22" s="31">
        <v>3436</v>
      </c>
      <c r="B22" s="31" t="s">
        <v>69</v>
      </c>
      <c r="C22" s="31" t="s">
        <v>70</v>
      </c>
      <c r="D22" s="32">
        <v>45569</v>
      </c>
      <c r="E22" s="31"/>
      <c r="F22" s="31" t="s">
        <v>7</v>
      </c>
      <c r="G22" s="33">
        <v>36800</v>
      </c>
      <c r="H22" s="34">
        <v>0</v>
      </c>
      <c r="I22" s="33">
        <v>36800</v>
      </c>
      <c r="J22" s="24"/>
      <c r="K22" s="22"/>
      <c r="L22" s="24"/>
      <c r="M22" s="25"/>
    </row>
    <row r="23" spans="1:13" ht="18" x14ac:dyDescent="0.3">
      <c r="A23" s="31">
        <v>3437</v>
      </c>
      <c r="B23" s="31" t="s">
        <v>71</v>
      </c>
      <c r="C23" s="31" t="s">
        <v>72</v>
      </c>
      <c r="D23" s="32">
        <v>45571</v>
      </c>
      <c r="E23" s="31"/>
      <c r="F23" s="31" t="s">
        <v>7</v>
      </c>
      <c r="G23" s="33">
        <v>3700</v>
      </c>
      <c r="H23" s="34">
        <v>0</v>
      </c>
      <c r="I23" s="33">
        <v>3700</v>
      </c>
      <c r="J23" s="24"/>
      <c r="K23" s="22"/>
      <c r="L23" s="24"/>
      <c r="M23" s="25"/>
    </row>
    <row r="24" spans="1:13" x14ac:dyDescent="0.3">
      <c r="A24" s="31">
        <v>3439</v>
      </c>
      <c r="B24" s="31" t="s">
        <v>10</v>
      </c>
      <c r="C24" s="31" t="s">
        <v>73</v>
      </c>
      <c r="D24" s="32">
        <v>45567</v>
      </c>
      <c r="E24" s="31"/>
      <c r="F24" s="31" t="s">
        <v>7</v>
      </c>
      <c r="G24" s="34">
        <v>300</v>
      </c>
      <c r="H24" s="34">
        <v>0</v>
      </c>
      <c r="I24" s="34">
        <v>300</v>
      </c>
      <c r="J24" s="24"/>
      <c r="K24" s="22"/>
      <c r="L24" s="24"/>
      <c r="M24" s="25"/>
    </row>
    <row r="25" spans="1:13" x14ac:dyDescent="0.3">
      <c r="A25" s="31">
        <v>3440</v>
      </c>
      <c r="B25" s="31" t="s">
        <v>74</v>
      </c>
      <c r="C25" s="31" t="s">
        <v>75</v>
      </c>
      <c r="D25" s="32">
        <v>45574</v>
      </c>
      <c r="E25" s="31"/>
      <c r="F25" s="31" t="s">
        <v>7</v>
      </c>
      <c r="G25" s="33">
        <v>94870</v>
      </c>
      <c r="H25" s="34">
        <v>0</v>
      </c>
      <c r="I25" s="33">
        <v>94870</v>
      </c>
      <c r="J25" s="24"/>
      <c r="K25" s="22"/>
      <c r="L25" s="24"/>
      <c r="M25" s="25"/>
    </row>
    <row r="26" spans="1:13" x14ac:dyDescent="0.3">
      <c r="A26" s="31">
        <v>3441</v>
      </c>
      <c r="B26" s="31" t="s">
        <v>76</v>
      </c>
      <c r="C26" s="31" t="s">
        <v>77</v>
      </c>
      <c r="D26" s="32">
        <v>45568</v>
      </c>
      <c r="E26" s="31"/>
      <c r="F26" s="31" t="s">
        <v>7</v>
      </c>
      <c r="G26" s="33">
        <v>33250</v>
      </c>
      <c r="H26" s="34">
        <v>0</v>
      </c>
      <c r="I26" s="33">
        <v>33250</v>
      </c>
      <c r="J26" s="24"/>
      <c r="K26" s="22"/>
      <c r="L26" s="24"/>
      <c r="M26" s="25"/>
    </row>
    <row r="27" spans="1:13" x14ac:dyDescent="0.3">
      <c r="A27" s="31">
        <v>3442</v>
      </c>
      <c r="B27" s="31" t="s">
        <v>78</v>
      </c>
      <c r="C27" s="31" t="s">
        <v>79</v>
      </c>
      <c r="D27" s="32">
        <v>45574</v>
      </c>
      <c r="E27" s="31"/>
      <c r="F27" s="31" t="s">
        <v>7</v>
      </c>
      <c r="G27" s="33">
        <v>588703</v>
      </c>
      <c r="H27" s="34">
        <v>0</v>
      </c>
      <c r="I27" s="33">
        <v>588703</v>
      </c>
      <c r="J27" s="24"/>
      <c r="K27" s="22"/>
      <c r="L27" s="24"/>
      <c r="M27" s="25"/>
    </row>
    <row r="28" spans="1:13" x14ac:dyDescent="0.3">
      <c r="A28" s="31">
        <v>3443</v>
      </c>
      <c r="B28" s="31" t="s">
        <v>38</v>
      </c>
      <c r="C28" s="31" t="s">
        <v>80</v>
      </c>
      <c r="D28" s="32">
        <v>45547</v>
      </c>
      <c r="E28" s="31"/>
      <c r="F28" s="31" t="s">
        <v>7</v>
      </c>
      <c r="G28" s="33">
        <v>5048</v>
      </c>
      <c r="H28" s="34">
        <v>0</v>
      </c>
      <c r="I28" s="33">
        <v>5048</v>
      </c>
      <c r="J28" s="24"/>
      <c r="K28" s="22"/>
      <c r="L28" s="24"/>
      <c r="M28" s="25"/>
    </row>
    <row r="29" spans="1:13" x14ac:dyDescent="0.3">
      <c r="A29" s="31">
        <v>3445</v>
      </c>
      <c r="B29" s="31" t="s">
        <v>81</v>
      </c>
      <c r="C29" s="31" t="s">
        <v>82</v>
      </c>
      <c r="D29" s="32">
        <v>45575</v>
      </c>
      <c r="E29" s="31"/>
      <c r="F29" s="31" t="s">
        <v>7</v>
      </c>
      <c r="G29" s="33">
        <v>153600</v>
      </c>
      <c r="H29" s="34">
        <v>0</v>
      </c>
      <c r="I29" s="33">
        <v>153600</v>
      </c>
      <c r="J29" s="24"/>
      <c r="K29" s="22"/>
      <c r="L29" s="24"/>
      <c r="M29" s="25"/>
    </row>
    <row r="30" spans="1:13" x14ac:dyDescent="0.3">
      <c r="A30" s="31">
        <v>3446</v>
      </c>
      <c r="B30" s="31" t="s">
        <v>83</v>
      </c>
      <c r="C30" s="31" t="s">
        <v>84</v>
      </c>
      <c r="D30" s="32">
        <v>45575</v>
      </c>
      <c r="E30" s="31"/>
      <c r="F30" s="31" t="s">
        <v>7</v>
      </c>
      <c r="G30" s="33">
        <v>29676</v>
      </c>
      <c r="H30" s="34">
        <v>0</v>
      </c>
      <c r="I30" s="33">
        <v>29676</v>
      </c>
      <c r="J30" s="24"/>
      <c r="K30" s="22"/>
      <c r="L30" s="24"/>
      <c r="M30" s="25"/>
    </row>
    <row r="31" spans="1:13" x14ac:dyDescent="0.3">
      <c r="A31" s="31">
        <v>3447</v>
      </c>
      <c r="B31" s="31" t="s">
        <v>31</v>
      </c>
      <c r="C31" s="31" t="s">
        <v>85</v>
      </c>
      <c r="D31" s="32">
        <v>45555</v>
      </c>
      <c r="E31" s="31"/>
      <c r="F31" s="31" t="s">
        <v>7</v>
      </c>
      <c r="G31" s="33">
        <v>5250</v>
      </c>
      <c r="H31" s="34">
        <v>0</v>
      </c>
      <c r="I31" s="33">
        <v>5250</v>
      </c>
      <c r="J31" s="24"/>
      <c r="K31" s="22"/>
      <c r="L31" s="24"/>
      <c r="M31" s="25"/>
    </row>
    <row r="32" spans="1:13" x14ac:dyDescent="0.3">
      <c r="A32" s="31">
        <v>3452</v>
      </c>
      <c r="B32" s="31" t="s">
        <v>86</v>
      </c>
      <c r="C32" s="31" t="s">
        <v>87</v>
      </c>
      <c r="D32" s="32">
        <v>45587</v>
      </c>
      <c r="E32" s="31"/>
      <c r="F32" s="31" t="s">
        <v>7</v>
      </c>
      <c r="G32" s="33">
        <v>8400</v>
      </c>
      <c r="H32" s="34">
        <v>0</v>
      </c>
      <c r="I32" s="33">
        <v>8400</v>
      </c>
      <c r="J32" s="24"/>
      <c r="K32" s="22"/>
      <c r="L32" s="24"/>
      <c r="M32" s="25"/>
    </row>
    <row r="33" spans="1:13" x14ac:dyDescent="0.3">
      <c r="A33" s="31">
        <v>3453</v>
      </c>
      <c r="B33" s="31" t="s">
        <v>88</v>
      </c>
      <c r="C33" s="31" t="s">
        <v>89</v>
      </c>
      <c r="D33" s="32">
        <v>45583</v>
      </c>
      <c r="E33" s="31"/>
      <c r="F33" s="31" t="s">
        <v>7</v>
      </c>
      <c r="G33" s="33">
        <v>1500</v>
      </c>
      <c r="H33" s="34">
        <v>0</v>
      </c>
      <c r="I33" s="33">
        <v>1500</v>
      </c>
      <c r="J33" s="24"/>
      <c r="K33" s="22"/>
      <c r="L33" s="24"/>
      <c r="M33" s="25"/>
    </row>
    <row r="34" spans="1:13" x14ac:dyDescent="0.3">
      <c r="A34" s="31">
        <v>3456</v>
      </c>
      <c r="B34" s="31" t="s">
        <v>90</v>
      </c>
      <c r="C34" s="31" t="s">
        <v>91</v>
      </c>
      <c r="D34" s="32">
        <v>45589</v>
      </c>
      <c r="E34" s="31"/>
      <c r="F34" s="31" t="s">
        <v>7</v>
      </c>
      <c r="G34" s="33">
        <v>23140</v>
      </c>
      <c r="H34" s="34">
        <v>0</v>
      </c>
      <c r="I34" s="33">
        <v>23140</v>
      </c>
      <c r="J34" s="24"/>
      <c r="K34" s="22"/>
      <c r="L34" s="24"/>
      <c r="M34" s="4"/>
    </row>
    <row r="35" spans="1:13" x14ac:dyDescent="0.3">
      <c r="A35" s="31">
        <v>3457</v>
      </c>
      <c r="B35" s="31" t="s">
        <v>92</v>
      </c>
      <c r="C35" s="31" t="s">
        <v>93</v>
      </c>
      <c r="D35" s="32">
        <v>45590</v>
      </c>
      <c r="E35" s="31"/>
      <c r="F35" s="31" t="s">
        <v>7</v>
      </c>
      <c r="G35" s="33">
        <v>7500</v>
      </c>
      <c r="H35" s="34">
        <v>0</v>
      </c>
      <c r="I35" s="33">
        <v>7500</v>
      </c>
      <c r="J35" s="24"/>
      <c r="K35" s="22"/>
      <c r="L35" s="24"/>
      <c r="M35" s="4"/>
    </row>
    <row r="36" spans="1:13" ht="18" x14ac:dyDescent="0.3">
      <c r="A36" s="31">
        <v>3462</v>
      </c>
      <c r="B36" s="31" t="s">
        <v>71</v>
      </c>
      <c r="C36" s="31" t="s">
        <v>94</v>
      </c>
      <c r="D36" s="32">
        <v>45589</v>
      </c>
      <c r="E36" s="31"/>
      <c r="F36" s="31" t="s">
        <v>7</v>
      </c>
      <c r="G36" s="33">
        <v>10600</v>
      </c>
      <c r="H36" s="34">
        <v>0</v>
      </c>
      <c r="I36" s="33">
        <v>10600</v>
      </c>
      <c r="J36" s="24"/>
      <c r="K36" s="22"/>
      <c r="L36" s="24"/>
      <c r="M36" s="4"/>
    </row>
    <row r="37" spans="1:13" x14ac:dyDescent="0.3">
      <c r="A37" s="31">
        <v>3464</v>
      </c>
      <c r="B37" s="31" t="s">
        <v>95</v>
      </c>
      <c r="C37" s="31" t="s">
        <v>96</v>
      </c>
      <c r="D37" s="32">
        <v>45604</v>
      </c>
      <c r="E37" s="31"/>
      <c r="F37" s="31" t="s">
        <v>7</v>
      </c>
      <c r="G37" s="33">
        <v>1820</v>
      </c>
      <c r="H37" s="34">
        <v>0</v>
      </c>
      <c r="I37" s="33">
        <v>1820</v>
      </c>
      <c r="J37" s="24"/>
      <c r="K37" s="22"/>
      <c r="L37" s="24"/>
      <c r="M37" s="4"/>
    </row>
    <row r="38" spans="1:13" x14ac:dyDescent="0.3">
      <c r="A38" s="22"/>
      <c r="B38" s="22"/>
      <c r="C38" s="22"/>
      <c r="D38" s="23"/>
      <c r="E38" s="23"/>
      <c r="F38" s="23"/>
      <c r="G38" s="22"/>
      <c r="H38" s="22"/>
      <c r="I38" s="24">
        <f>SUM(I3:I37)</f>
        <v>4228719.29</v>
      </c>
      <c r="J38" s="24"/>
      <c r="K38" s="22"/>
      <c r="L38" s="24"/>
    </row>
    <row r="39" spans="1:13" x14ac:dyDescent="0.3">
      <c r="A39" s="22"/>
      <c r="B39" s="22"/>
      <c r="C39" s="22"/>
      <c r="D39" s="23"/>
      <c r="E39" s="23"/>
      <c r="F39" s="23"/>
      <c r="G39" s="22"/>
      <c r="H39" s="22"/>
      <c r="I39" s="22"/>
      <c r="J39" s="24"/>
      <c r="K39" s="22"/>
      <c r="L39" s="24"/>
    </row>
    <row r="40" spans="1:13" x14ac:dyDescent="0.3">
      <c r="A40" s="22"/>
      <c r="B40" s="22"/>
      <c r="C40" s="22"/>
      <c r="D40" s="23"/>
      <c r="E40" s="23"/>
      <c r="F40" s="23"/>
      <c r="G40" s="22"/>
      <c r="H40" s="22"/>
      <c r="I40" s="22"/>
      <c r="J40" s="24"/>
      <c r="K40" s="22"/>
      <c r="L40" s="24"/>
    </row>
    <row r="41" spans="1:13" x14ac:dyDescent="0.3">
      <c r="A41" s="22"/>
      <c r="B41" s="22"/>
      <c r="C41" s="22"/>
      <c r="D41" s="23"/>
      <c r="E41" s="23"/>
      <c r="F41" s="23"/>
      <c r="G41" s="22"/>
      <c r="H41" s="22"/>
      <c r="I41" s="22"/>
      <c r="J41" s="24"/>
      <c r="K41" s="22"/>
      <c r="L41" s="24"/>
    </row>
    <row r="42" spans="1:13" x14ac:dyDescent="0.3">
      <c r="A42" s="22"/>
      <c r="B42" s="22"/>
      <c r="C42" s="22"/>
      <c r="D42" s="23"/>
      <c r="E42" s="23"/>
      <c r="F42" s="23"/>
      <c r="G42" s="22"/>
      <c r="H42" s="22"/>
      <c r="I42" s="22"/>
      <c r="J42" s="24"/>
      <c r="K42" s="22"/>
      <c r="L42" s="24"/>
    </row>
    <row r="43" spans="1:13" x14ac:dyDescent="0.3">
      <c r="A43" s="22"/>
      <c r="B43" s="22"/>
      <c r="C43" s="22"/>
      <c r="D43" s="23"/>
      <c r="E43" s="23"/>
      <c r="F43" s="23"/>
      <c r="G43" s="22"/>
      <c r="H43" s="22"/>
      <c r="I43" s="22"/>
      <c r="J43" s="24"/>
      <c r="K43" s="22"/>
      <c r="L43" s="24"/>
    </row>
    <row r="44" spans="1:13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5"/>
    </row>
  </sheetData>
  <mergeCells count="1">
    <mergeCell ref="A44:K44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54E2-74DE-4740-920C-060C96F3D04B}">
  <dimension ref="A2:K42"/>
  <sheetViews>
    <sheetView showGridLines="0" topLeftCell="A27" workbookViewId="0">
      <selection activeCell="G43" sqref="G43"/>
    </sheetView>
  </sheetViews>
  <sheetFormatPr defaultColWidth="43" defaultRowHeight="14.4" x14ac:dyDescent="0.3"/>
  <cols>
    <col min="1" max="1" width="11" style="2" bestFit="1" customWidth="1"/>
    <col min="2" max="2" width="42.5546875" style="2" bestFit="1" customWidth="1"/>
    <col min="3" max="3" width="8.33203125" style="5" bestFit="1" customWidth="1"/>
    <col min="4" max="4" width="9" style="3" bestFit="1" customWidth="1"/>
    <col min="5" max="5" width="5.33203125" style="3" bestFit="1" customWidth="1"/>
    <col min="6" max="6" width="9.88671875" style="3" bestFit="1" customWidth="1"/>
    <col min="7" max="7" width="11.44140625" style="6" bestFit="1" customWidth="1"/>
    <col min="8" max="9" width="43" style="5"/>
    <col min="10" max="11" width="43" style="4"/>
    <col min="12" max="16384" width="43" style="2"/>
  </cols>
  <sheetData>
    <row r="2" spans="1:7" ht="18" x14ac:dyDescent="0.3">
      <c r="A2" s="28" t="s">
        <v>11</v>
      </c>
      <c r="B2" s="28" t="s">
        <v>0</v>
      </c>
      <c r="C2" s="29" t="s">
        <v>1</v>
      </c>
      <c r="D2" s="29" t="s">
        <v>28</v>
      </c>
      <c r="E2" s="29" t="s">
        <v>2</v>
      </c>
      <c r="F2" s="29" t="s">
        <v>12</v>
      </c>
      <c r="G2" s="16" t="s">
        <v>13</v>
      </c>
    </row>
    <row r="3" spans="1:7" x14ac:dyDescent="0.3">
      <c r="A3" s="31" t="s">
        <v>97</v>
      </c>
      <c r="B3" s="31" t="s">
        <v>17</v>
      </c>
      <c r="C3" s="31" t="s">
        <v>18</v>
      </c>
      <c r="D3" s="32">
        <v>41014</v>
      </c>
      <c r="E3" s="31" t="s">
        <v>19</v>
      </c>
      <c r="F3" s="32">
        <v>45611</v>
      </c>
      <c r="G3" s="1">
        <v>3030</v>
      </c>
    </row>
    <row r="4" spans="1:7" x14ac:dyDescent="0.3">
      <c r="A4" s="31" t="s">
        <v>98</v>
      </c>
      <c r="B4" s="31" t="s">
        <v>17</v>
      </c>
      <c r="C4" s="31" t="s">
        <v>18</v>
      </c>
      <c r="D4" s="32">
        <v>41014</v>
      </c>
      <c r="E4" s="31" t="s">
        <v>19</v>
      </c>
      <c r="F4" s="32">
        <v>45611</v>
      </c>
      <c r="G4" s="1">
        <v>112.94</v>
      </c>
    </row>
    <row r="5" spans="1:7" x14ac:dyDescent="0.3">
      <c r="A5" s="31" t="s">
        <v>99</v>
      </c>
      <c r="B5" s="31" t="s">
        <v>100</v>
      </c>
      <c r="C5" s="31" t="s">
        <v>101</v>
      </c>
      <c r="D5" s="32">
        <v>45338</v>
      </c>
      <c r="E5" s="31"/>
      <c r="F5" s="32">
        <v>45611</v>
      </c>
      <c r="G5" s="1">
        <v>6630.25</v>
      </c>
    </row>
    <row r="6" spans="1:7" x14ac:dyDescent="0.3">
      <c r="A6" s="31" t="s">
        <v>102</v>
      </c>
      <c r="B6" s="31" t="s">
        <v>103</v>
      </c>
      <c r="C6" s="31" t="s">
        <v>104</v>
      </c>
      <c r="D6" s="32">
        <v>45338</v>
      </c>
      <c r="E6" s="31"/>
      <c r="F6" s="32">
        <v>45611</v>
      </c>
      <c r="G6" s="1">
        <v>1200</v>
      </c>
    </row>
    <row r="7" spans="1:7" x14ac:dyDescent="0.3">
      <c r="A7" s="31" t="s">
        <v>105</v>
      </c>
      <c r="B7" s="31" t="s">
        <v>46</v>
      </c>
      <c r="C7" s="31" t="s">
        <v>106</v>
      </c>
      <c r="D7" s="32">
        <v>45385</v>
      </c>
      <c r="E7" s="31"/>
      <c r="F7" s="32">
        <v>45611</v>
      </c>
      <c r="G7" s="1">
        <v>1831</v>
      </c>
    </row>
    <row r="8" spans="1:7" x14ac:dyDescent="0.3">
      <c r="A8" s="31" t="s">
        <v>107</v>
      </c>
      <c r="B8" s="31" t="s">
        <v>108</v>
      </c>
      <c r="C8" s="31" t="s">
        <v>109</v>
      </c>
      <c r="D8" s="32">
        <v>45400</v>
      </c>
      <c r="E8" s="31"/>
      <c r="F8" s="32">
        <v>45611</v>
      </c>
      <c r="G8" s="1">
        <v>13770.42</v>
      </c>
    </row>
    <row r="9" spans="1:7" x14ac:dyDescent="0.3">
      <c r="A9" s="31" t="s">
        <v>110</v>
      </c>
      <c r="B9" s="31" t="s">
        <v>20</v>
      </c>
      <c r="C9" s="31" t="s">
        <v>111</v>
      </c>
      <c r="D9" s="32">
        <v>45412</v>
      </c>
      <c r="E9" s="31"/>
      <c r="F9" s="32">
        <v>45611</v>
      </c>
      <c r="G9" s="1">
        <v>15000</v>
      </c>
    </row>
    <row r="10" spans="1:7" x14ac:dyDescent="0.3">
      <c r="A10" s="31" t="s">
        <v>112</v>
      </c>
      <c r="B10" s="31" t="s">
        <v>113</v>
      </c>
      <c r="C10" s="31" t="s">
        <v>114</v>
      </c>
      <c r="D10" s="32">
        <v>45434</v>
      </c>
      <c r="E10" s="31"/>
      <c r="F10" s="32">
        <v>45611</v>
      </c>
      <c r="G10" s="1">
        <v>3480</v>
      </c>
    </row>
    <row r="11" spans="1:7" x14ac:dyDescent="0.3">
      <c r="A11" s="31" t="s">
        <v>115</v>
      </c>
      <c r="B11" s="31" t="s">
        <v>8</v>
      </c>
      <c r="C11" s="31" t="s">
        <v>116</v>
      </c>
      <c r="D11" s="32">
        <v>45461</v>
      </c>
      <c r="E11" s="31"/>
      <c r="F11" s="32">
        <v>45611</v>
      </c>
      <c r="G11" s="1">
        <v>3300</v>
      </c>
    </row>
    <row r="12" spans="1:7" x14ac:dyDescent="0.3">
      <c r="A12" s="31" t="s">
        <v>117</v>
      </c>
      <c r="B12" s="31" t="s">
        <v>8</v>
      </c>
      <c r="C12" s="31" t="s">
        <v>116</v>
      </c>
      <c r="D12" s="32">
        <v>45461</v>
      </c>
      <c r="E12" s="31"/>
      <c r="F12" s="32">
        <v>45611</v>
      </c>
      <c r="G12" s="1">
        <v>5690</v>
      </c>
    </row>
    <row r="13" spans="1:7" x14ac:dyDescent="0.3">
      <c r="A13" s="31" t="s">
        <v>118</v>
      </c>
      <c r="B13" s="31" t="s">
        <v>119</v>
      </c>
      <c r="C13" s="31" t="s">
        <v>120</v>
      </c>
      <c r="D13" s="32">
        <v>45465</v>
      </c>
      <c r="E13" s="31"/>
      <c r="F13" s="32">
        <v>45611</v>
      </c>
      <c r="G13" s="1">
        <v>6500</v>
      </c>
    </row>
    <row r="14" spans="1:7" x14ac:dyDescent="0.3">
      <c r="A14" s="31" t="s">
        <v>121</v>
      </c>
      <c r="B14" s="31" t="s">
        <v>119</v>
      </c>
      <c r="C14" s="31" t="s">
        <v>120</v>
      </c>
      <c r="D14" s="32">
        <v>45465</v>
      </c>
      <c r="E14" s="31"/>
      <c r="F14" s="32">
        <v>45611</v>
      </c>
      <c r="G14" s="1">
        <v>3000</v>
      </c>
    </row>
    <row r="15" spans="1:7" x14ac:dyDescent="0.3">
      <c r="A15" s="31" t="s">
        <v>122</v>
      </c>
      <c r="B15" s="31" t="s">
        <v>123</v>
      </c>
      <c r="C15" s="31" t="s">
        <v>124</v>
      </c>
      <c r="D15" s="32">
        <v>45474</v>
      </c>
      <c r="E15" s="31"/>
      <c r="F15" s="32">
        <v>45611</v>
      </c>
      <c r="G15" s="1">
        <v>3500</v>
      </c>
    </row>
    <row r="16" spans="1:7" x14ac:dyDescent="0.3">
      <c r="A16" s="31" t="s">
        <v>125</v>
      </c>
      <c r="B16" s="31" t="s">
        <v>30</v>
      </c>
      <c r="C16" s="31" t="s">
        <v>126</v>
      </c>
      <c r="D16" s="32">
        <v>45480</v>
      </c>
      <c r="E16" s="31"/>
      <c r="F16" s="32">
        <v>45611</v>
      </c>
      <c r="G16" s="1">
        <v>2843.87</v>
      </c>
    </row>
    <row r="17" spans="1:7" x14ac:dyDescent="0.3">
      <c r="A17" s="31" t="s">
        <v>127</v>
      </c>
      <c r="B17" s="31" t="s">
        <v>128</v>
      </c>
      <c r="C17" s="31" t="s">
        <v>129</v>
      </c>
      <c r="D17" s="32">
        <v>45481</v>
      </c>
      <c r="E17" s="31"/>
      <c r="F17" s="32">
        <v>45611</v>
      </c>
      <c r="G17" s="1">
        <v>6000</v>
      </c>
    </row>
    <row r="18" spans="1:7" x14ac:dyDescent="0.3">
      <c r="A18" s="31" t="s">
        <v>130</v>
      </c>
      <c r="B18" s="31" t="s">
        <v>131</v>
      </c>
      <c r="C18" s="31" t="s">
        <v>132</v>
      </c>
      <c r="D18" s="32">
        <v>45489</v>
      </c>
      <c r="E18" s="31"/>
      <c r="F18" s="32">
        <v>45611</v>
      </c>
      <c r="G18" s="1">
        <v>6000</v>
      </c>
    </row>
    <row r="19" spans="1:7" x14ac:dyDescent="0.3">
      <c r="A19" s="31" t="s">
        <v>133</v>
      </c>
      <c r="B19" s="31" t="s">
        <v>131</v>
      </c>
      <c r="C19" s="31" t="s">
        <v>132</v>
      </c>
      <c r="D19" s="32">
        <v>45489</v>
      </c>
      <c r="E19" s="31"/>
      <c r="F19" s="32">
        <v>45611</v>
      </c>
      <c r="G19" s="1">
        <v>240</v>
      </c>
    </row>
    <row r="20" spans="1:7" ht="18" x14ac:dyDescent="0.3">
      <c r="A20" s="31" t="s">
        <v>134</v>
      </c>
      <c r="B20" s="31" t="s">
        <v>135</v>
      </c>
      <c r="C20" s="31" t="s">
        <v>136</v>
      </c>
      <c r="D20" s="32">
        <v>45498</v>
      </c>
      <c r="E20" s="31"/>
      <c r="F20" s="32">
        <v>45611</v>
      </c>
      <c r="G20" s="1">
        <v>7518.24</v>
      </c>
    </row>
    <row r="21" spans="1:7" x14ac:dyDescent="0.3">
      <c r="A21" s="31" t="s">
        <v>137</v>
      </c>
      <c r="B21" s="31" t="s">
        <v>9</v>
      </c>
      <c r="C21" s="31" t="s">
        <v>138</v>
      </c>
      <c r="D21" s="32">
        <v>45505</v>
      </c>
      <c r="E21" s="31"/>
      <c r="F21" s="32">
        <v>45611</v>
      </c>
      <c r="G21" s="1">
        <v>7450</v>
      </c>
    </row>
    <row r="22" spans="1:7" x14ac:dyDescent="0.3">
      <c r="A22" s="31" t="s">
        <v>139</v>
      </c>
      <c r="B22" s="31" t="s">
        <v>140</v>
      </c>
      <c r="C22" s="31" t="s">
        <v>141</v>
      </c>
      <c r="D22" s="32">
        <v>45511</v>
      </c>
      <c r="E22" s="31"/>
      <c r="F22" s="32">
        <v>45611</v>
      </c>
      <c r="G22" s="1">
        <v>5200</v>
      </c>
    </row>
    <row r="23" spans="1:7" x14ac:dyDescent="0.3">
      <c r="A23" s="31" t="s">
        <v>142</v>
      </c>
      <c r="B23" s="31" t="s">
        <v>140</v>
      </c>
      <c r="C23" s="31" t="s">
        <v>141</v>
      </c>
      <c r="D23" s="32">
        <v>45511</v>
      </c>
      <c r="E23" s="31"/>
      <c r="F23" s="32">
        <v>45611</v>
      </c>
      <c r="G23" s="1">
        <v>1800</v>
      </c>
    </row>
    <row r="24" spans="1:7" x14ac:dyDescent="0.3">
      <c r="A24" s="31" t="s">
        <v>143</v>
      </c>
      <c r="B24" s="31" t="s">
        <v>140</v>
      </c>
      <c r="C24" s="31" t="s">
        <v>141</v>
      </c>
      <c r="D24" s="32">
        <v>45511</v>
      </c>
      <c r="E24" s="31"/>
      <c r="F24" s="32">
        <v>45611</v>
      </c>
      <c r="G24" s="1">
        <v>1200</v>
      </c>
    </row>
    <row r="25" spans="1:7" x14ac:dyDescent="0.3">
      <c r="A25" s="31" t="s">
        <v>144</v>
      </c>
      <c r="B25" s="31" t="s">
        <v>145</v>
      </c>
      <c r="C25" s="31" t="s">
        <v>146</v>
      </c>
      <c r="D25" s="32">
        <v>45513</v>
      </c>
      <c r="E25" s="31"/>
      <c r="F25" s="32">
        <v>45611</v>
      </c>
      <c r="G25" s="1">
        <v>2280</v>
      </c>
    </row>
    <row r="26" spans="1:7" x14ac:dyDescent="0.3">
      <c r="A26" s="31" t="s">
        <v>147</v>
      </c>
      <c r="B26" s="31" t="s">
        <v>22</v>
      </c>
      <c r="C26" s="31" t="s">
        <v>148</v>
      </c>
      <c r="D26" s="32">
        <v>45514</v>
      </c>
      <c r="E26" s="31"/>
      <c r="F26" s="32">
        <v>45611</v>
      </c>
      <c r="G26" s="1">
        <v>23500</v>
      </c>
    </row>
    <row r="27" spans="1:7" x14ac:dyDescent="0.3">
      <c r="A27" s="31" t="s">
        <v>149</v>
      </c>
      <c r="B27" s="31" t="s">
        <v>15</v>
      </c>
      <c r="C27" s="31" t="s">
        <v>150</v>
      </c>
      <c r="D27" s="32">
        <v>45516</v>
      </c>
      <c r="E27" s="31"/>
      <c r="F27" s="32">
        <v>45516</v>
      </c>
      <c r="G27" s="1">
        <v>528</v>
      </c>
    </row>
    <row r="28" spans="1:7" x14ac:dyDescent="0.3">
      <c r="A28" s="31" t="s">
        <v>151</v>
      </c>
      <c r="B28" s="31" t="s">
        <v>152</v>
      </c>
      <c r="C28" s="31" t="s">
        <v>153</v>
      </c>
      <c r="D28" s="32">
        <v>45519</v>
      </c>
      <c r="E28" s="31"/>
      <c r="F28" s="32">
        <v>45611</v>
      </c>
      <c r="G28" s="1">
        <v>420</v>
      </c>
    </row>
    <row r="29" spans="1:7" x14ac:dyDescent="0.3">
      <c r="A29" s="31" t="s">
        <v>154</v>
      </c>
      <c r="B29" s="31" t="s">
        <v>155</v>
      </c>
      <c r="C29" s="31" t="s">
        <v>156</v>
      </c>
      <c r="D29" s="32">
        <v>45521</v>
      </c>
      <c r="E29" s="31"/>
      <c r="F29" s="32">
        <v>45521</v>
      </c>
      <c r="G29" s="1">
        <v>200</v>
      </c>
    </row>
    <row r="30" spans="1:7" x14ac:dyDescent="0.3">
      <c r="A30" s="31" t="s">
        <v>157</v>
      </c>
      <c r="B30" s="31" t="s">
        <v>76</v>
      </c>
      <c r="C30" s="31" t="s">
        <v>158</v>
      </c>
      <c r="D30" s="32">
        <v>45526</v>
      </c>
      <c r="E30" s="31"/>
      <c r="F30" s="32">
        <v>45611</v>
      </c>
      <c r="G30" s="1">
        <v>1400</v>
      </c>
    </row>
    <row r="31" spans="1:7" ht="18" x14ac:dyDescent="0.3">
      <c r="A31" s="31" t="s">
        <v>159</v>
      </c>
      <c r="B31" s="31" t="s">
        <v>135</v>
      </c>
      <c r="C31" s="31" t="s">
        <v>160</v>
      </c>
      <c r="D31" s="32">
        <v>45527</v>
      </c>
      <c r="E31" s="31"/>
      <c r="F31" s="32">
        <v>45611</v>
      </c>
      <c r="G31" s="1">
        <v>1370</v>
      </c>
    </row>
    <row r="32" spans="1:7" x14ac:dyDescent="0.3">
      <c r="A32" s="31" t="s">
        <v>161</v>
      </c>
      <c r="B32" s="31" t="s">
        <v>76</v>
      </c>
      <c r="C32" s="31" t="s">
        <v>162</v>
      </c>
      <c r="D32" s="32">
        <v>45528</v>
      </c>
      <c r="E32" s="31"/>
      <c r="F32" s="32">
        <v>45611</v>
      </c>
      <c r="G32" s="1">
        <v>1500</v>
      </c>
    </row>
    <row r="33" spans="1:7" x14ac:dyDescent="0.3">
      <c r="A33" s="31" t="s">
        <v>163</v>
      </c>
      <c r="B33" s="31" t="s">
        <v>164</v>
      </c>
      <c r="C33" s="31" t="s">
        <v>165</v>
      </c>
      <c r="D33" s="32">
        <v>45532</v>
      </c>
      <c r="E33" s="31"/>
      <c r="F33" s="32">
        <v>45611</v>
      </c>
      <c r="G33" s="1">
        <v>3170</v>
      </c>
    </row>
    <row r="34" spans="1:7" x14ac:dyDescent="0.3">
      <c r="A34" s="31" t="s">
        <v>166</v>
      </c>
      <c r="B34" s="31" t="s">
        <v>51</v>
      </c>
      <c r="C34" s="31" t="s">
        <v>167</v>
      </c>
      <c r="D34" s="32">
        <v>45532</v>
      </c>
      <c r="E34" s="31"/>
      <c r="F34" s="32">
        <v>45611</v>
      </c>
      <c r="G34" s="1">
        <v>4790</v>
      </c>
    </row>
    <row r="35" spans="1:7" x14ac:dyDescent="0.3">
      <c r="A35" s="31" t="s">
        <v>168</v>
      </c>
      <c r="B35" s="31" t="s">
        <v>51</v>
      </c>
      <c r="C35" s="31" t="s">
        <v>167</v>
      </c>
      <c r="D35" s="32">
        <v>45532</v>
      </c>
      <c r="E35" s="31"/>
      <c r="F35" s="32">
        <v>45611</v>
      </c>
      <c r="G35" s="1">
        <v>6600</v>
      </c>
    </row>
    <row r="36" spans="1:7" x14ac:dyDescent="0.3">
      <c r="A36" s="31" t="s">
        <v>169</v>
      </c>
      <c r="B36" s="31" t="s">
        <v>152</v>
      </c>
      <c r="C36" s="31" t="s">
        <v>170</v>
      </c>
      <c r="D36" s="32">
        <v>45535</v>
      </c>
      <c r="E36" s="31"/>
      <c r="F36" s="32">
        <v>45596</v>
      </c>
      <c r="G36" s="1">
        <v>1500</v>
      </c>
    </row>
    <row r="37" spans="1:7" x14ac:dyDescent="0.3">
      <c r="A37" s="31" t="s">
        <v>171</v>
      </c>
      <c r="B37" s="31" t="s">
        <v>131</v>
      </c>
      <c r="C37" s="31" t="s">
        <v>172</v>
      </c>
      <c r="D37" s="32">
        <v>45545</v>
      </c>
      <c r="E37" s="31"/>
      <c r="F37" s="32">
        <v>45545</v>
      </c>
      <c r="G37" s="1">
        <v>9312</v>
      </c>
    </row>
    <row r="38" spans="1:7" x14ac:dyDescent="0.3">
      <c r="A38" s="31" t="s">
        <v>173</v>
      </c>
      <c r="B38" s="31" t="s">
        <v>131</v>
      </c>
      <c r="C38" s="31" t="s">
        <v>172</v>
      </c>
      <c r="D38" s="32">
        <v>45545</v>
      </c>
      <c r="E38" s="31"/>
      <c r="F38" s="32">
        <v>45545</v>
      </c>
      <c r="G38" s="1">
        <v>600</v>
      </c>
    </row>
    <row r="39" spans="1:7" x14ac:dyDescent="0.3">
      <c r="A39" s="31" t="s">
        <v>174</v>
      </c>
      <c r="B39" s="31" t="s">
        <v>123</v>
      </c>
      <c r="C39" s="31" t="s">
        <v>175</v>
      </c>
      <c r="D39" s="32">
        <v>45553</v>
      </c>
      <c r="E39" s="31"/>
      <c r="F39" s="32">
        <v>45553</v>
      </c>
      <c r="G39" s="1">
        <v>2500</v>
      </c>
    </row>
    <row r="40" spans="1:7" x14ac:dyDescent="0.3">
      <c r="A40" s="31" t="s">
        <v>176</v>
      </c>
      <c r="B40" s="31" t="s">
        <v>177</v>
      </c>
      <c r="C40" s="31" t="s">
        <v>178</v>
      </c>
      <c r="D40" s="32">
        <v>45559</v>
      </c>
      <c r="E40" s="31"/>
      <c r="F40" s="32">
        <v>45559</v>
      </c>
      <c r="G40" s="1">
        <v>11950</v>
      </c>
    </row>
    <row r="41" spans="1:7" x14ac:dyDescent="0.3">
      <c r="A41" s="31" t="s">
        <v>179</v>
      </c>
      <c r="B41" s="31" t="s">
        <v>177</v>
      </c>
      <c r="C41" s="31" t="s">
        <v>178</v>
      </c>
      <c r="D41" s="32">
        <v>45559</v>
      </c>
      <c r="E41" s="31"/>
      <c r="F41" s="32">
        <v>45559</v>
      </c>
      <c r="G41" s="1">
        <v>4500</v>
      </c>
    </row>
    <row r="42" spans="1:7" x14ac:dyDescent="0.3">
      <c r="G42" s="6">
        <f>SUM(G3:G41)</f>
        <v>181416.72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9D65-FBBD-4CEE-A059-28DAA0414C32}">
  <dimension ref="D2:J5"/>
  <sheetViews>
    <sheetView showGridLines="0" topLeftCell="D1" workbookViewId="0">
      <selection activeCell="E25" sqref="E25"/>
    </sheetView>
  </sheetViews>
  <sheetFormatPr defaultColWidth="38.88671875" defaultRowHeight="14.4" x14ac:dyDescent="0.3"/>
  <cols>
    <col min="1" max="3" width="38.88671875" style="35"/>
    <col min="4" max="4" width="6.33203125" style="35" bestFit="1" customWidth="1"/>
    <col min="5" max="5" width="42.5546875" style="35" bestFit="1" customWidth="1"/>
    <col min="6" max="6" width="7.77734375" style="35" bestFit="1" customWidth="1"/>
    <col min="7" max="7" width="9" style="17" bestFit="1" customWidth="1"/>
    <col min="8" max="8" width="5.33203125" style="18" bestFit="1" customWidth="1"/>
    <col min="9" max="9" width="9.88671875" style="18" bestFit="1" customWidth="1"/>
    <col min="10" max="10" width="10.33203125" style="36" bestFit="1" customWidth="1"/>
    <col min="11" max="16384" width="38.88671875" style="35"/>
  </cols>
  <sheetData>
    <row r="2" spans="4:10" ht="18" x14ac:dyDescent="0.3">
      <c r="D2" s="28" t="s">
        <v>16</v>
      </c>
      <c r="E2" s="28" t="s">
        <v>0</v>
      </c>
      <c r="F2" s="29" t="s">
        <v>1</v>
      </c>
      <c r="G2" s="29" t="s">
        <v>28</v>
      </c>
      <c r="H2" s="29" t="s">
        <v>2</v>
      </c>
      <c r="I2" s="29" t="s">
        <v>12</v>
      </c>
      <c r="J2" s="16" t="s">
        <v>13</v>
      </c>
    </row>
    <row r="3" spans="4:10" x14ac:dyDescent="0.3">
      <c r="D3" s="31" t="s">
        <v>180</v>
      </c>
      <c r="E3" s="31" t="s">
        <v>29</v>
      </c>
      <c r="F3" s="31" t="s">
        <v>181</v>
      </c>
      <c r="G3" s="32">
        <v>45387</v>
      </c>
      <c r="H3" s="31"/>
      <c r="I3" s="32">
        <v>45387</v>
      </c>
      <c r="J3" s="1">
        <v>3830</v>
      </c>
    </row>
    <row r="4" spans="4:10" x14ac:dyDescent="0.3">
      <c r="D4" s="31" t="s">
        <v>144</v>
      </c>
      <c r="E4" s="31" t="s">
        <v>145</v>
      </c>
      <c r="F4" s="31" t="s">
        <v>146</v>
      </c>
      <c r="G4" s="32">
        <v>45513</v>
      </c>
      <c r="H4" s="31"/>
      <c r="I4" s="32">
        <v>45513</v>
      </c>
      <c r="J4" s="1">
        <v>800</v>
      </c>
    </row>
    <row r="5" spans="4:10" x14ac:dyDescent="0.3">
      <c r="J5" s="36">
        <f>-SUM(J3:J4)</f>
        <v>-4630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Acidentes</vt:lpstr>
      <vt:lpstr>Complementos</vt:lpstr>
      <vt:lpstr>Créditos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dos Santos Assis | R Fonseca Advogados</dc:creator>
  <cp:lastModifiedBy>Gabriel dos Santos Assis | R Fonseca Advogados</cp:lastModifiedBy>
  <dcterms:created xsi:type="dcterms:W3CDTF">2025-08-05T13:47:46Z</dcterms:created>
  <dcterms:modified xsi:type="dcterms:W3CDTF">2026-03-20T20:37:01Z</dcterms:modified>
</cp:coreProperties>
</file>