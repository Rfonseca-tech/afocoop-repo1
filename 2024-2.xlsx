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 Assis\Documents\Governança Financeira e Negócios e Investimentos\Finanças\Clientes\Governança Financeira\Afocoop\Relatorios\Rateio - Acidentes\Analise dos rateios\FAP\2024\"/>
    </mc:Choice>
  </mc:AlternateContent>
  <xr:revisionPtr revIDLastSave="0" documentId="13_ncr:1_{52D447C3-F41B-4801-A100-DE4AFB364275}" xr6:coauthVersionLast="47" xr6:coauthVersionMax="47" xr10:uidLastSave="{00000000-0000-0000-0000-000000000000}"/>
  <bookViews>
    <workbookView xWindow="-108" yWindow="-108" windowWidth="23256" windowHeight="12456" xr2:uid="{37B17226-7758-404D-B575-DE8ED6E64128}"/>
  </bookViews>
  <sheets>
    <sheet name="Resumo" sheetId="4" r:id="rId1"/>
    <sheet name="Acidentes" sheetId="1" r:id="rId2"/>
    <sheet name="Complementos" sheetId="2" r:id="rId3"/>
    <sheet name="Créditos" sheetId="3" r:id="rId4"/>
  </sheets>
  <definedNames>
    <definedName name="_xlnm._FilterDatabase" localSheetId="1" hidden="1">Acidentes!$A$2:$K$2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J14" i="3"/>
  <c r="G68" i="2"/>
  <c r="B5" i="4"/>
  <c r="I25" i="1"/>
  <c r="B9" i="4" l="1"/>
</calcChain>
</file>

<file path=xl/sharedStrings.xml><?xml version="1.0" encoding="utf-8"?>
<sst xmlns="http://schemas.openxmlformats.org/spreadsheetml/2006/main" count="333" uniqueCount="231">
  <si>
    <t>Associado</t>
  </si>
  <si>
    <t>Placa</t>
  </si>
  <si>
    <t>Perda</t>
  </si>
  <si>
    <t>Parcela</t>
  </si>
  <si>
    <t>Valor</t>
  </si>
  <si>
    <t>Serviços</t>
  </si>
  <si>
    <t>Total</t>
  </si>
  <si>
    <t>Unica</t>
  </si>
  <si>
    <t>TRANSPORTADORA JPM LTDA</t>
  </si>
  <si>
    <t>GILBERTO TRANSPORTES LTDA</t>
  </si>
  <si>
    <t>TRANSPORTADORA MORAES E SILVEIRA LTDA</t>
  </si>
  <si>
    <t>Complemento</t>
  </si>
  <si>
    <t>Data(comp)</t>
  </si>
  <si>
    <t>Valor(comp)</t>
  </si>
  <si>
    <t>TRANSRADAR LTDA</t>
  </si>
  <si>
    <t>TRANSPORTADORA FONSECA E FILHOS LTDA</t>
  </si>
  <si>
    <t>Crédito</t>
  </si>
  <si>
    <t>TRANSPORTES MELO NETO EIRELI ME</t>
  </si>
  <si>
    <t>CIVITEC COM. COMPON. P/ VEIC. LTDA</t>
  </si>
  <si>
    <t>AAA-1111</t>
  </si>
  <si>
    <t>Roubo</t>
  </si>
  <si>
    <t>OLIVEIRA E COIMBRA TRANSPORTES LTDA ME</t>
  </si>
  <si>
    <t>ANTONIO ROBERTO DE FARIA JUNIOR 08101128689</t>
  </si>
  <si>
    <t>J L D TRANSPORTES LTDA</t>
  </si>
  <si>
    <t>Acidentes</t>
  </si>
  <si>
    <t>Complementos</t>
  </si>
  <si>
    <t>Créditos</t>
  </si>
  <si>
    <t>Descrição</t>
  </si>
  <si>
    <t>Taxa Adm</t>
  </si>
  <si>
    <t>Data</t>
  </si>
  <si>
    <t>TRANSDELLAS LTDA</t>
  </si>
  <si>
    <t>MIX TRANSPORTES RODOVIÁRIOS LTDA ME</t>
  </si>
  <si>
    <t>KL TRANSPORTES LTDA ME</t>
  </si>
  <si>
    <t>OPY-1700</t>
  </si>
  <si>
    <t>EXPRESSO K&amp;K LTDA</t>
  </si>
  <si>
    <t>GBR2D07</t>
  </si>
  <si>
    <t>QPC-0899</t>
  </si>
  <si>
    <t>Acidente</t>
  </si>
  <si>
    <t>CENTRO OESTE TRANSPORTES E COMERCIO DE CALCARIO LTDA</t>
  </si>
  <si>
    <t>EXPRESSO RIBEIRO CANDEIAS LTDA</t>
  </si>
  <si>
    <t>BRUTUS TRANSPORTES RODOVIARIOS DE CARGA LTDA - ME</t>
  </si>
  <si>
    <t>Parcial</t>
  </si>
  <si>
    <t>AUTO SOCORRO COSTA LTDA - ME</t>
  </si>
  <si>
    <t>R C A TRANSPORTES LTDA</t>
  </si>
  <si>
    <t>TRANSPORTADORA P22 LTDA</t>
  </si>
  <si>
    <t>FERNANDO LUCIO DE CARVALHO</t>
  </si>
  <si>
    <t>DORJO TRANSPORTADORA LTDA</t>
  </si>
  <si>
    <t>RFS6H23</t>
  </si>
  <si>
    <t>BELARE LOGISTICA E TRANSPORTES EIRELI</t>
  </si>
  <si>
    <t>QNX-4235</t>
  </si>
  <si>
    <t>WR TRANSPORTADORA LTDA</t>
  </si>
  <si>
    <t>SHM2E39</t>
  </si>
  <si>
    <t>QUL3D80</t>
  </si>
  <si>
    <t>ADM COLD SERVICO E TRANSPORTE EIRELI</t>
  </si>
  <si>
    <t>OAZ9I65</t>
  </si>
  <si>
    <t>QNY-2821</t>
  </si>
  <si>
    <t>IJS COMERCIO DE GRAOS EM GERAL LTDA</t>
  </si>
  <si>
    <t>RFC7I33</t>
  </si>
  <si>
    <t>TWM TRANSPORTES ESPECIAIS LTDA</t>
  </si>
  <si>
    <t>JBW4G98</t>
  </si>
  <si>
    <t>JOSE CARLOS DE OLIVEIRA</t>
  </si>
  <si>
    <t>OWL-7139</t>
  </si>
  <si>
    <t>SUPER GIRO ATACADO LTDA</t>
  </si>
  <si>
    <t>SGI9I80</t>
  </si>
  <si>
    <t>RMSS LOGISTICA E TRANSPORTES LTDA</t>
  </si>
  <si>
    <t>RBB5E94</t>
  </si>
  <si>
    <t>RNY0F11</t>
  </si>
  <si>
    <t>TRANSPORTADORA 3M LTDA</t>
  </si>
  <si>
    <t>QQC6C28</t>
  </si>
  <si>
    <t>EMPREENDIMENTOS MORAIS E TRANSPORTE DE TURISMO LTDA</t>
  </si>
  <si>
    <t>SAT0C68</t>
  </si>
  <si>
    <t>VMC LOCACAO DE VEICULOS DE CARGA LTDA</t>
  </si>
  <si>
    <t>OQT-7102</t>
  </si>
  <si>
    <t>PYQ-1430</t>
  </si>
  <si>
    <t>OWK5G86</t>
  </si>
  <si>
    <t>OMB-6027</t>
  </si>
  <si>
    <t>TRANSPORTES FILINTO LTDA ME</t>
  </si>
  <si>
    <t>SYJ3F27</t>
  </si>
  <si>
    <t>POUPY DISTRIBUIDORA COMERCIAL LTDA</t>
  </si>
  <si>
    <t>SYI2D09</t>
  </si>
  <si>
    <t>WALMIR DO CARMO SILVA JUNIOR</t>
  </si>
  <si>
    <t>EJV8A26</t>
  </si>
  <si>
    <t>RFC6A11</t>
  </si>
  <si>
    <t>6-576</t>
  </si>
  <si>
    <t>6-570</t>
  </si>
  <si>
    <t>6-575</t>
  </si>
  <si>
    <t>6-566</t>
  </si>
  <si>
    <t>6-567</t>
  </si>
  <si>
    <t>3118-5</t>
  </si>
  <si>
    <t>3165-1</t>
  </si>
  <si>
    <t>EXPRESSO M &amp; R TRANSPORTES LTDA</t>
  </si>
  <si>
    <t>SHS7B77</t>
  </si>
  <si>
    <t>3169-4</t>
  </si>
  <si>
    <t>RNW4B51</t>
  </si>
  <si>
    <t>3219-13</t>
  </si>
  <si>
    <t>VITÓRIA E FERREIRA TRANSPORTES LTDA ME</t>
  </si>
  <si>
    <t>RTB7J63</t>
  </si>
  <si>
    <t>3236-2</t>
  </si>
  <si>
    <t>CLAUDIO JOSE DE RESENDE</t>
  </si>
  <si>
    <t>GVJ-3504</t>
  </si>
  <si>
    <t>3248-9</t>
  </si>
  <si>
    <t>RNW6J36</t>
  </si>
  <si>
    <t>3256-2</t>
  </si>
  <si>
    <t>3258-3</t>
  </si>
  <si>
    <t>RTT7F78</t>
  </si>
  <si>
    <t>3265-1</t>
  </si>
  <si>
    <t>RNH5J43</t>
  </si>
  <si>
    <t>3284-2</t>
  </si>
  <si>
    <t>W U TRANSPORTES LTDA</t>
  </si>
  <si>
    <t>QXJ3E92</t>
  </si>
  <si>
    <t>3285-3</t>
  </si>
  <si>
    <t>RNR7A08</t>
  </si>
  <si>
    <t>3290-3</t>
  </si>
  <si>
    <t>APL TRANSPORTES LTDA</t>
  </si>
  <si>
    <t>QWT-4832</t>
  </si>
  <si>
    <t>3290-4</t>
  </si>
  <si>
    <t>3295-5</t>
  </si>
  <si>
    <t>QOJ-6949</t>
  </si>
  <si>
    <t>3296-2</t>
  </si>
  <si>
    <t>WW MULLER TRANSPORTES LTDA -ME</t>
  </si>
  <si>
    <t>QQI5C14</t>
  </si>
  <si>
    <t>3314-1</t>
  </si>
  <si>
    <t>TRANSMONTEIRO W.R LTDA</t>
  </si>
  <si>
    <t>RFB2H31</t>
  </si>
  <si>
    <t>3309-2</t>
  </si>
  <si>
    <t>LUIZ CARLOS DE OLIVEIRA COSTA</t>
  </si>
  <si>
    <t>ODJ1B43</t>
  </si>
  <si>
    <t>3315-5</t>
  </si>
  <si>
    <t>OQF-5485</t>
  </si>
  <si>
    <t>3315-6</t>
  </si>
  <si>
    <t>3316-1</t>
  </si>
  <si>
    <t>QUY-6001</t>
  </si>
  <si>
    <t>3321-3</t>
  </si>
  <si>
    <t>ITIENE NOGUEIRA COUTO</t>
  </si>
  <si>
    <t>SIM4B42</t>
  </si>
  <si>
    <t>3332-2</t>
  </si>
  <si>
    <t>TRANSPORTES BORGES E FILHOS LTDA</t>
  </si>
  <si>
    <t>QON-1866</t>
  </si>
  <si>
    <t>3332-3</t>
  </si>
  <si>
    <t>3333-3</t>
  </si>
  <si>
    <t>JLC TRANSPORTES LOGISTICA LTDA</t>
  </si>
  <si>
    <t>RFD5F62</t>
  </si>
  <si>
    <t>3330-1</t>
  </si>
  <si>
    <t>REAL COMERCIO E TRANSPORTE LTDA - ME</t>
  </si>
  <si>
    <t>QUM7E40</t>
  </si>
  <si>
    <t>3334-1</t>
  </si>
  <si>
    <t>3330-2</t>
  </si>
  <si>
    <t>3352-1</t>
  </si>
  <si>
    <t>VAGNER FERNANDO DE MEDEIROS</t>
  </si>
  <si>
    <t>GSH-4331</t>
  </si>
  <si>
    <t>3344-1</t>
  </si>
  <si>
    <t>TR JUNINHO TRANSPORTES LTDA</t>
  </si>
  <si>
    <t>RTH5I47</t>
  </si>
  <si>
    <t>3343-1</t>
  </si>
  <si>
    <t>L &amp; J CACAMBAS LTDA</t>
  </si>
  <si>
    <t>PVC2G02</t>
  </si>
  <si>
    <t>3355-1</t>
  </si>
  <si>
    <t>QXO9E55</t>
  </si>
  <si>
    <t>3351-1</t>
  </si>
  <si>
    <t>QXH2J96</t>
  </si>
  <si>
    <t>3351-2</t>
  </si>
  <si>
    <t>3361-1</t>
  </si>
  <si>
    <t>EUP1A21</t>
  </si>
  <si>
    <t>3356-3</t>
  </si>
  <si>
    <t>IXX-9126</t>
  </si>
  <si>
    <t>3356-4</t>
  </si>
  <si>
    <t>3368-1</t>
  </si>
  <si>
    <t>HMK-0352</t>
  </si>
  <si>
    <t>3373-1</t>
  </si>
  <si>
    <t>NYE7D01</t>
  </si>
  <si>
    <t>3385-2</t>
  </si>
  <si>
    <t>RFZ6J05</t>
  </si>
  <si>
    <t>3385-1</t>
  </si>
  <si>
    <t>3380-1</t>
  </si>
  <si>
    <t>IRV TRANSPORTES LTDA</t>
  </si>
  <si>
    <t>QXZ1C69</t>
  </si>
  <si>
    <t>3378-1</t>
  </si>
  <si>
    <t>MC CASTRO TRANSPORTES LTDA - ME</t>
  </si>
  <si>
    <t>PVC-2599</t>
  </si>
  <si>
    <t>3390-1</t>
  </si>
  <si>
    <t>QOV-5935</t>
  </si>
  <si>
    <t>3386-1</t>
  </si>
  <si>
    <t>QIV-8165</t>
  </si>
  <si>
    <t>3391-1</t>
  </si>
  <si>
    <t>PYC-2955</t>
  </si>
  <si>
    <t>3393-1</t>
  </si>
  <si>
    <t>RVE2F36</t>
  </si>
  <si>
    <t>3395-2</t>
  </si>
  <si>
    <t>FABIO DO SENHOR DA MATA TRANSPORTES</t>
  </si>
  <si>
    <t>QOB8I44</t>
  </si>
  <si>
    <t>3395-1</t>
  </si>
  <si>
    <t>3395-3</t>
  </si>
  <si>
    <t>3395-4</t>
  </si>
  <si>
    <t>3392-1</t>
  </si>
  <si>
    <t>RBC6A22</t>
  </si>
  <si>
    <t>3399-3</t>
  </si>
  <si>
    <t>VALTENCIR CAMPOS FERREIRA</t>
  </si>
  <si>
    <t>KOU7H94</t>
  </si>
  <si>
    <t>3399-1</t>
  </si>
  <si>
    <t>3399-2</t>
  </si>
  <si>
    <t>3400-3</t>
  </si>
  <si>
    <t>CLECIO GUIMARAES RESENDE</t>
  </si>
  <si>
    <t>NKF-2569</t>
  </si>
  <si>
    <t>3400-1</t>
  </si>
  <si>
    <t>3400-2</t>
  </si>
  <si>
    <t>3404-1</t>
  </si>
  <si>
    <t>VRK TRANSPORTES LTDA</t>
  </si>
  <si>
    <t>RFH3G37</t>
  </si>
  <si>
    <t>6-572</t>
  </si>
  <si>
    <t>6-573</t>
  </si>
  <si>
    <t>2508-1</t>
  </si>
  <si>
    <t>OLIVEIRA E FREITAS TRANSPORTES LTDA</t>
  </si>
  <si>
    <t>OME5B79</t>
  </si>
  <si>
    <t>2552-1</t>
  </si>
  <si>
    <t>QNZ-3737</t>
  </si>
  <si>
    <t>2975-2</t>
  </si>
  <si>
    <t>TRANSPORTADORA MULTI EXPRESS LTDA</t>
  </si>
  <si>
    <t>QUY-6226</t>
  </si>
  <si>
    <t>3043-1</t>
  </si>
  <si>
    <t>RMH8G11</t>
  </si>
  <si>
    <t>3273-1</t>
  </si>
  <si>
    <t>RFD8E50</t>
  </si>
  <si>
    <t>3318-1</t>
  </si>
  <si>
    <t>FVQ1G21</t>
  </si>
  <si>
    <t>3323-1</t>
  </si>
  <si>
    <t>MINAS LOGISTICA LTDA -ME</t>
  </si>
  <si>
    <t>PUQ-5018</t>
  </si>
  <si>
    <t>3329-1</t>
  </si>
  <si>
    <t>M G FAGUNDES TRANSPORTES ME</t>
  </si>
  <si>
    <t>FUM-9850</t>
  </si>
  <si>
    <t>3369-1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</si>
</sst>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name val="Verdana"/>
      <family val="2"/>
    </font>
    <font>
      <sz val="11"/>
      <name val="Aptos Narrow"/>
      <family val="2"/>
      <scheme val="minor"/>
    </font>
    <font>
      <sz val="7"/>
      <name val="Verdana"/>
      <family val="2"/>
    </font>
    <font>
      <b/>
      <sz val="7"/>
      <color rgb="FF000000"/>
      <name val="Verdana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0" applyNumberFormat="0" applyBorder="0" applyAlignment="0" applyProtection="0"/>
  </cellStyleXfs>
  <cellXfs count="43">
    <xf numFmtId="0" fontId="0" fillId="0" borderId="0" xfId="0"/>
    <xf numFmtId="43" fontId="4" fillId="0" borderId="1" xfId="1" applyFont="1" applyFill="1" applyBorder="1" applyAlignment="1">
      <alignment horizontal="right" vertical="center" wrapText="1"/>
    </xf>
    <xf numFmtId="43" fontId="3" fillId="0" borderId="0" xfId="1" applyFont="1" applyFill="1" applyBorder="1"/>
    <xf numFmtId="43" fontId="4" fillId="0" borderId="0" xfId="1" applyFont="1" applyFill="1" applyBorder="1" applyAlignment="1">
      <alignment horizontal="right" vertical="center" wrapText="1"/>
    </xf>
    <xf numFmtId="43" fontId="3" fillId="0" borderId="0" xfId="1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43" fontId="0" fillId="0" borderId="2" xfId="1" applyFont="1" applyBorder="1" applyAlignment="1">
      <alignment horizontal="center"/>
    </xf>
    <xf numFmtId="4" fontId="5" fillId="0" borderId="0" xfId="0" applyNumberFormat="1" applyFont="1"/>
    <xf numFmtId="9" fontId="0" fillId="0" borderId="0" xfId="2" applyFont="1"/>
    <xf numFmtId="0" fontId="7" fillId="2" borderId="2" xfId="3" applyBorder="1" applyAlignment="1">
      <alignment horizontal="center"/>
    </xf>
    <xf numFmtId="0" fontId="7" fillId="2" borderId="2" xfId="3" applyBorder="1" applyAlignment="1">
      <alignment horizontal="left"/>
    </xf>
    <xf numFmtId="43" fontId="7" fillId="2" borderId="2" xfId="3" applyNumberFormat="1" applyBorder="1" applyAlignment="1">
      <alignment horizontal="center"/>
    </xf>
    <xf numFmtId="0" fontId="6" fillId="0" borderId="0" xfId="3" applyFont="1" applyFill="1" applyBorder="1" applyAlignment="1">
      <alignment horizontal="center" vertical="center" wrapText="1"/>
    </xf>
    <xf numFmtId="4" fontId="7" fillId="0" borderId="0" xfId="3" applyNumberFormat="1" applyFill="1" applyBorder="1" applyAlignment="1">
      <alignment horizontal="center"/>
    </xf>
    <xf numFmtId="43" fontId="2" fillId="0" borderId="1" xfId="1" applyFont="1" applyFill="1" applyBorder="1" applyAlignment="1">
      <alignment horizontal="right" vertical="center" wrapText="1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horizontal="center" vertical="center"/>
    </xf>
    <xf numFmtId="0" fontId="7" fillId="0" borderId="0" xfId="3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Border="1" applyAlignment="1">
      <alignment horizontal="center" vertical="center" wrapText="1"/>
    </xf>
    <xf numFmtId="14" fontId="4" fillId="0" borderId="0" xfId="0" applyNumberFormat="1" applyFont="1" applyBorder="1" applyAlignment="1">
      <alignment horizontal="center" vertical="center" wrapText="1"/>
    </xf>
    <xf numFmtId="4" fontId="4" fillId="0" borderId="0" xfId="0" applyNumberFormat="1" applyFont="1" applyBorder="1" applyAlignment="1">
      <alignment horizontal="center" vertical="center" wrapText="1"/>
    </xf>
    <xf numFmtId="4" fontId="4" fillId="0" borderId="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14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14" fontId="4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" vertical="center" wrapText="1"/>
    </xf>
    <xf numFmtId="4" fontId="4" fillId="0" borderId="0" xfId="0" applyNumberFormat="1" applyFont="1" applyFill="1" applyBorder="1" applyAlignment="1">
      <alignment horizontal="center" vertical="center" wrapText="1"/>
    </xf>
  </cellXfs>
  <cellStyles count="4">
    <cellStyle name="Ênfase6" xfId="3" builtinId="49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F993-75F6-4DB6-B9DC-4CB54E1D758D}">
  <dimension ref="A4:E10"/>
  <sheetViews>
    <sheetView showGridLines="0" tabSelected="1" workbookViewId="0">
      <selection activeCell="B9" sqref="B9"/>
    </sheetView>
  </sheetViews>
  <sheetFormatPr defaultRowHeight="14.4" x14ac:dyDescent="0.3"/>
  <cols>
    <col min="1" max="1" width="13.33203125" bestFit="1" customWidth="1"/>
    <col min="2" max="2" width="13.109375" bestFit="1" customWidth="1"/>
    <col min="3" max="3" width="8.77734375" customWidth="1"/>
    <col min="4" max="4" width="7.109375" customWidth="1"/>
    <col min="5" max="5" width="11.33203125" bestFit="1" customWidth="1"/>
    <col min="6" max="6" width="6.88671875" bestFit="1" customWidth="1"/>
    <col min="7" max="7" width="7.21875" bestFit="1" customWidth="1"/>
    <col min="8" max="8" width="5.88671875" bestFit="1" customWidth="1"/>
    <col min="9" max="9" width="6.88671875" bestFit="1" customWidth="1"/>
    <col min="10" max="10" width="7.21875" bestFit="1" customWidth="1"/>
  </cols>
  <sheetData>
    <row r="4" spans="1:5" x14ac:dyDescent="0.3">
      <c r="A4" s="9" t="s">
        <v>27</v>
      </c>
      <c r="B4" s="9" t="s">
        <v>4</v>
      </c>
    </row>
    <row r="5" spans="1:5" x14ac:dyDescent="0.3">
      <c r="A5" s="5" t="s">
        <v>24</v>
      </c>
      <c r="B5" s="6">
        <f>Acidentes!I25</f>
        <v>4559232.4000000004</v>
      </c>
    </row>
    <row r="6" spans="1:5" x14ac:dyDescent="0.3">
      <c r="A6" s="5" t="s">
        <v>25</v>
      </c>
      <c r="B6" s="6">
        <f>Complementos!G68</f>
        <v>291142.95</v>
      </c>
    </row>
    <row r="7" spans="1:5" x14ac:dyDescent="0.3">
      <c r="A7" s="5" t="s">
        <v>26</v>
      </c>
      <c r="B7" s="6">
        <f>-Créditos!J14</f>
        <v>-231740</v>
      </c>
    </row>
    <row r="8" spans="1:5" x14ac:dyDescent="0.3">
      <c r="A8" s="5" t="s">
        <v>28</v>
      </c>
      <c r="B8" s="6">
        <v>1833940.9</v>
      </c>
    </row>
    <row r="9" spans="1:5" x14ac:dyDescent="0.3">
      <c r="A9" s="10" t="s">
        <v>6</v>
      </c>
      <c r="B9" s="11">
        <f>SUM(B5:B8)</f>
        <v>6452576.25</v>
      </c>
      <c r="E9" s="7"/>
    </row>
    <row r="10" spans="1:5" x14ac:dyDescent="0.3">
      <c r="E10" s="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9802-8C6B-475A-BF86-52B07557C066}">
  <dimension ref="A2:L42"/>
  <sheetViews>
    <sheetView showGridLines="0" topLeftCell="A18" workbookViewId="0">
      <selection activeCell="I26" sqref="I26"/>
    </sheetView>
  </sheetViews>
  <sheetFormatPr defaultColWidth="7.109375" defaultRowHeight="14.4" x14ac:dyDescent="0.3"/>
  <cols>
    <col min="1" max="1" width="11.5546875" style="24" bestFit="1" customWidth="1"/>
    <col min="2" max="2" width="35.5546875" style="24" bestFit="1" customWidth="1"/>
    <col min="3" max="3" width="10" style="24" bestFit="1" customWidth="1"/>
    <col min="4" max="4" width="12.5546875" style="25" bestFit="1" customWidth="1"/>
    <col min="5" max="6" width="11.5546875" style="25" bestFit="1" customWidth="1"/>
    <col min="7" max="7" width="18.33203125" style="25" bestFit="1" customWidth="1"/>
    <col min="8" max="9" width="22.5546875" style="25" bestFit="1" customWidth="1"/>
    <col min="10" max="10" width="11.33203125" style="24" bestFit="1" customWidth="1"/>
    <col min="11" max="11" width="11.6640625" style="24" bestFit="1" customWidth="1"/>
    <col min="12" max="16384" width="7.109375" style="19"/>
  </cols>
  <sheetData>
    <row r="2" spans="1:12" x14ac:dyDescent="0.3">
      <c r="A2" s="27" t="s">
        <v>37</v>
      </c>
      <c r="B2" s="27" t="s">
        <v>0</v>
      </c>
      <c r="C2" s="27" t="s">
        <v>1</v>
      </c>
      <c r="D2" s="27" t="s">
        <v>29</v>
      </c>
      <c r="E2" s="27" t="s">
        <v>2</v>
      </c>
      <c r="F2" s="27" t="s">
        <v>3</v>
      </c>
      <c r="G2" s="27" t="s">
        <v>4</v>
      </c>
      <c r="H2" s="27" t="s">
        <v>5</v>
      </c>
      <c r="I2" s="27" t="s">
        <v>6</v>
      </c>
      <c r="J2" s="12"/>
      <c r="K2" s="12"/>
      <c r="L2" s="18"/>
    </row>
    <row r="3" spans="1:12" x14ac:dyDescent="0.3">
      <c r="A3" s="30">
        <v>3301</v>
      </c>
      <c r="B3" s="30" t="s">
        <v>48</v>
      </c>
      <c r="C3" s="30" t="s">
        <v>49</v>
      </c>
      <c r="D3" s="31">
        <v>45565</v>
      </c>
      <c r="E3" s="30"/>
      <c r="F3" s="30" t="s">
        <v>7</v>
      </c>
      <c r="G3" s="32">
        <v>13800</v>
      </c>
      <c r="H3" s="30">
        <v>0</v>
      </c>
      <c r="I3" s="32">
        <v>13800</v>
      </c>
      <c r="J3" s="20"/>
      <c r="K3" s="22"/>
      <c r="L3" s="23"/>
    </row>
    <row r="4" spans="1:12" x14ac:dyDescent="0.3">
      <c r="A4" s="30">
        <v>3327</v>
      </c>
      <c r="B4" s="30" t="s">
        <v>50</v>
      </c>
      <c r="C4" s="30" t="s">
        <v>51</v>
      </c>
      <c r="D4" s="31">
        <v>45545</v>
      </c>
      <c r="E4" s="30"/>
      <c r="F4" s="30" t="s">
        <v>7</v>
      </c>
      <c r="G4" s="32">
        <v>774850</v>
      </c>
      <c r="H4" s="30">
        <v>0</v>
      </c>
      <c r="I4" s="32">
        <v>774850</v>
      </c>
      <c r="J4" s="20"/>
      <c r="K4" s="22"/>
      <c r="L4" s="23"/>
    </row>
    <row r="5" spans="1:12" x14ac:dyDescent="0.3">
      <c r="A5" s="30">
        <v>3349</v>
      </c>
      <c r="B5" s="30" t="s">
        <v>9</v>
      </c>
      <c r="C5" s="30" t="s">
        <v>52</v>
      </c>
      <c r="D5" s="31">
        <v>45560</v>
      </c>
      <c r="E5" s="30"/>
      <c r="F5" s="30" t="s">
        <v>7</v>
      </c>
      <c r="G5" s="32">
        <v>775800</v>
      </c>
      <c r="H5" s="30">
        <v>0</v>
      </c>
      <c r="I5" s="32">
        <v>775800</v>
      </c>
      <c r="J5" s="20"/>
      <c r="K5" s="22"/>
      <c r="L5" s="23"/>
    </row>
    <row r="6" spans="1:12" x14ac:dyDescent="0.3">
      <c r="A6" s="30">
        <v>3369</v>
      </c>
      <c r="B6" s="30" t="s">
        <v>53</v>
      </c>
      <c r="C6" s="30" t="s">
        <v>54</v>
      </c>
      <c r="D6" s="31">
        <v>45513</v>
      </c>
      <c r="E6" s="30"/>
      <c r="F6" s="30" t="s">
        <v>7</v>
      </c>
      <c r="G6" s="32">
        <v>260830</v>
      </c>
      <c r="H6" s="30">
        <v>0</v>
      </c>
      <c r="I6" s="32">
        <v>260830</v>
      </c>
      <c r="J6" s="20"/>
      <c r="K6" s="22"/>
      <c r="L6" s="23"/>
    </row>
    <row r="7" spans="1:12" ht="18" x14ac:dyDescent="0.3">
      <c r="A7" s="30">
        <v>3370</v>
      </c>
      <c r="B7" s="30" t="s">
        <v>40</v>
      </c>
      <c r="C7" s="30" t="s">
        <v>55</v>
      </c>
      <c r="D7" s="31">
        <v>45513</v>
      </c>
      <c r="E7" s="30"/>
      <c r="F7" s="30" t="s">
        <v>7</v>
      </c>
      <c r="G7" s="32">
        <v>330583</v>
      </c>
      <c r="H7" s="30">
        <v>0</v>
      </c>
      <c r="I7" s="32">
        <v>330583</v>
      </c>
      <c r="J7" s="20"/>
      <c r="K7" s="22"/>
      <c r="L7" s="23"/>
    </row>
    <row r="8" spans="1:12" x14ac:dyDescent="0.3">
      <c r="A8" s="30">
        <v>3371</v>
      </c>
      <c r="B8" s="30" t="s">
        <v>56</v>
      </c>
      <c r="C8" s="30" t="s">
        <v>57</v>
      </c>
      <c r="D8" s="31">
        <v>45507</v>
      </c>
      <c r="E8" s="30"/>
      <c r="F8" s="30" t="s">
        <v>7</v>
      </c>
      <c r="G8" s="32">
        <v>18900</v>
      </c>
      <c r="H8" s="30">
        <v>0</v>
      </c>
      <c r="I8" s="32">
        <v>18900</v>
      </c>
      <c r="J8" s="20"/>
      <c r="K8" s="22"/>
      <c r="L8" s="23"/>
    </row>
    <row r="9" spans="1:12" x14ac:dyDescent="0.3">
      <c r="A9" s="30">
        <v>3377</v>
      </c>
      <c r="B9" s="30" t="s">
        <v>58</v>
      </c>
      <c r="C9" s="30" t="s">
        <v>59</v>
      </c>
      <c r="D9" s="31">
        <v>45519</v>
      </c>
      <c r="E9" s="30"/>
      <c r="F9" s="30" t="s">
        <v>7</v>
      </c>
      <c r="G9" s="32">
        <v>561170.4</v>
      </c>
      <c r="H9" s="30">
        <v>0</v>
      </c>
      <c r="I9" s="32">
        <v>561170.4</v>
      </c>
      <c r="J9" s="20"/>
      <c r="K9" s="22"/>
      <c r="L9" s="23"/>
    </row>
    <row r="10" spans="1:12" x14ac:dyDescent="0.3">
      <c r="A10" s="30">
        <v>3379</v>
      </c>
      <c r="B10" s="30" t="s">
        <v>32</v>
      </c>
      <c r="C10" s="30" t="s">
        <v>33</v>
      </c>
      <c r="D10" s="31">
        <v>45515</v>
      </c>
      <c r="E10" s="30"/>
      <c r="F10" s="30" t="s">
        <v>7</v>
      </c>
      <c r="G10" s="32">
        <v>12580</v>
      </c>
      <c r="H10" s="30">
        <v>0</v>
      </c>
      <c r="I10" s="32">
        <v>12580</v>
      </c>
      <c r="J10" s="20"/>
      <c r="K10" s="22"/>
      <c r="L10" s="23"/>
    </row>
    <row r="11" spans="1:12" x14ac:dyDescent="0.3">
      <c r="A11" s="30">
        <v>3381</v>
      </c>
      <c r="B11" s="30" t="s">
        <v>60</v>
      </c>
      <c r="C11" s="30" t="s">
        <v>61</v>
      </c>
      <c r="D11" s="31">
        <v>45521</v>
      </c>
      <c r="E11" s="30"/>
      <c r="F11" s="30" t="s">
        <v>7</v>
      </c>
      <c r="G11" s="32">
        <v>113641</v>
      </c>
      <c r="H11" s="30">
        <v>0</v>
      </c>
      <c r="I11" s="32">
        <v>113641</v>
      </c>
      <c r="J11" s="20"/>
      <c r="K11" s="22"/>
      <c r="L11" s="23"/>
    </row>
    <row r="12" spans="1:12" x14ac:dyDescent="0.3">
      <c r="A12" s="30">
        <v>3389</v>
      </c>
      <c r="B12" s="30" t="s">
        <v>62</v>
      </c>
      <c r="C12" s="30" t="s">
        <v>63</v>
      </c>
      <c r="D12" s="31">
        <v>45531</v>
      </c>
      <c r="E12" s="30"/>
      <c r="F12" s="30" t="s">
        <v>7</v>
      </c>
      <c r="G12" s="32">
        <v>41000</v>
      </c>
      <c r="H12" s="30">
        <v>0</v>
      </c>
      <c r="I12" s="32">
        <v>41000</v>
      </c>
      <c r="J12" s="20"/>
      <c r="K12" s="22"/>
      <c r="L12" s="23"/>
    </row>
    <row r="13" spans="1:12" x14ac:dyDescent="0.3">
      <c r="A13" s="30">
        <v>3394</v>
      </c>
      <c r="B13" s="30" t="s">
        <v>64</v>
      </c>
      <c r="C13" s="30" t="s">
        <v>65</v>
      </c>
      <c r="D13" s="31">
        <v>45532</v>
      </c>
      <c r="E13" s="30"/>
      <c r="F13" s="30" t="s">
        <v>7</v>
      </c>
      <c r="G13" s="32">
        <v>176300</v>
      </c>
      <c r="H13" s="30">
        <v>0</v>
      </c>
      <c r="I13" s="32">
        <v>176300</v>
      </c>
      <c r="J13" s="20"/>
      <c r="K13" s="22"/>
      <c r="L13" s="23"/>
    </row>
    <row r="14" spans="1:12" x14ac:dyDescent="0.3">
      <c r="A14" s="30">
        <v>3396</v>
      </c>
      <c r="B14" s="30" t="s">
        <v>43</v>
      </c>
      <c r="C14" s="30" t="s">
        <v>66</v>
      </c>
      <c r="D14" s="31">
        <v>45534</v>
      </c>
      <c r="E14" s="30"/>
      <c r="F14" s="30" t="s">
        <v>7</v>
      </c>
      <c r="G14" s="32">
        <v>261380</v>
      </c>
      <c r="H14" s="30">
        <v>0</v>
      </c>
      <c r="I14" s="32">
        <v>261380</v>
      </c>
      <c r="J14" s="20"/>
      <c r="K14" s="22"/>
      <c r="L14" s="23"/>
    </row>
    <row r="15" spans="1:12" x14ac:dyDescent="0.3">
      <c r="A15" s="30">
        <v>3397</v>
      </c>
      <c r="B15" s="30" t="s">
        <v>67</v>
      </c>
      <c r="C15" s="30" t="s">
        <v>68</v>
      </c>
      <c r="D15" s="31">
        <v>45533</v>
      </c>
      <c r="E15" s="30"/>
      <c r="F15" s="30" t="s">
        <v>7</v>
      </c>
      <c r="G15" s="32">
        <v>30800</v>
      </c>
      <c r="H15" s="30">
        <v>0</v>
      </c>
      <c r="I15" s="32">
        <v>30800</v>
      </c>
      <c r="J15" s="20"/>
      <c r="K15" s="22"/>
      <c r="L15" s="23"/>
    </row>
    <row r="16" spans="1:12" ht="18" x14ac:dyDescent="0.3">
      <c r="A16" s="30">
        <v>3402</v>
      </c>
      <c r="B16" s="30" t="s">
        <v>69</v>
      </c>
      <c r="C16" s="30" t="s">
        <v>70</v>
      </c>
      <c r="D16" s="31">
        <v>45527</v>
      </c>
      <c r="E16" s="30"/>
      <c r="F16" s="30" t="s">
        <v>7</v>
      </c>
      <c r="G16" s="32">
        <v>40100</v>
      </c>
      <c r="H16" s="30">
        <v>0</v>
      </c>
      <c r="I16" s="32">
        <v>40100</v>
      </c>
      <c r="J16" s="20"/>
      <c r="K16" s="22"/>
      <c r="L16" s="23"/>
    </row>
    <row r="17" spans="1:12" x14ac:dyDescent="0.3">
      <c r="A17" s="30">
        <v>3403</v>
      </c>
      <c r="B17" s="30" t="s">
        <v>71</v>
      </c>
      <c r="C17" s="30" t="s">
        <v>72</v>
      </c>
      <c r="D17" s="31">
        <v>45540</v>
      </c>
      <c r="E17" s="30"/>
      <c r="F17" s="30" t="s">
        <v>7</v>
      </c>
      <c r="G17" s="32">
        <v>4500</v>
      </c>
      <c r="H17" s="30">
        <v>0</v>
      </c>
      <c r="I17" s="32">
        <v>4500</v>
      </c>
      <c r="J17" s="20"/>
      <c r="K17" s="22"/>
      <c r="L17" s="23"/>
    </row>
    <row r="18" spans="1:12" x14ac:dyDescent="0.3">
      <c r="A18" s="30">
        <v>3406</v>
      </c>
      <c r="B18" s="30" t="s">
        <v>46</v>
      </c>
      <c r="C18" s="30" t="s">
        <v>73</v>
      </c>
      <c r="D18" s="31">
        <v>45545</v>
      </c>
      <c r="E18" s="30"/>
      <c r="F18" s="30" t="s">
        <v>7</v>
      </c>
      <c r="G18" s="32">
        <v>367370</v>
      </c>
      <c r="H18" s="30">
        <v>0</v>
      </c>
      <c r="I18" s="32">
        <v>367370</v>
      </c>
      <c r="J18" s="20"/>
      <c r="K18" s="22"/>
      <c r="L18" s="23"/>
    </row>
    <row r="19" spans="1:12" x14ac:dyDescent="0.3">
      <c r="A19" s="30">
        <v>3409</v>
      </c>
      <c r="B19" s="30" t="s">
        <v>23</v>
      </c>
      <c r="C19" s="30" t="s">
        <v>74</v>
      </c>
      <c r="D19" s="31">
        <v>45544</v>
      </c>
      <c r="E19" s="30"/>
      <c r="F19" s="30" t="s">
        <v>7</v>
      </c>
      <c r="G19" s="32">
        <v>154850</v>
      </c>
      <c r="H19" s="30">
        <v>0</v>
      </c>
      <c r="I19" s="32">
        <v>154850</v>
      </c>
      <c r="J19" s="20"/>
      <c r="K19" s="22"/>
      <c r="L19" s="23"/>
    </row>
    <row r="20" spans="1:12" x14ac:dyDescent="0.3">
      <c r="A20" s="30">
        <v>3411</v>
      </c>
      <c r="B20" s="30" t="s">
        <v>15</v>
      </c>
      <c r="C20" s="30" t="s">
        <v>75</v>
      </c>
      <c r="D20" s="31">
        <v>45552</v>
      </c>
      <c r="E20" s="30"/>
      <c r="F20" s="30" t="s">
        <v>7</v>
      </c>
      <c r="G20" s="32">
        <v>212403</v>
      </c>
      <c r="H20" s="30">
        <v>0</v>
      </c>
      <c r="I20" s="32">
        <v>212403</v>
      </c>
      <c r="J20" s="20"/>
      <c r="K20" s="22"/>
      <c r="L20" s="23"/>
    </row>
    <row r="21" spans="1:12" x14ac:dyDescent="0.3">
      <c r="A21" s="30">
        <v>3412</v>
      </c>
      <c r="B21" s="30" t="s">
        <v>76</v>
      </c>
      <c r="C21" s="30" t="s">
        <v>77</v>
      </c>
      <c r="D21" s="31">
        <v>45549</v>
      </c>
      <c r="E21" s="30"/>
      <c r="F21" s="30" t="s">
        <v>7</v>
      </c>
      <c r="G21" s="32">
        <v>179695</v>
      </c>
      <c r="H21" s="30">
        <v>0</v>
      </c>
      <c r="I21" s="32">
        <v>179695</v>
      </c>
      <c r="J21" s="20"/>
      <c r="K21" s="22"/>
      <c r="L21" s="23"/>
    </row>
    <row r="22" spans="1:12" x14ac:dyDescent="0.3">
      <c r="A22" s="30">
        <v>3414</v>
      </c>
      <c r="B22" s="30" t="s">
        <v>78</v>
      </c>
      <c r="C22" s="30" t="s">
        <v>79</v>
      </c>
      <c r="D22" s="31">
        <v>45553</v>
      </c>
      <c r="E22" s="30"/>
      <c r="F22" s="30" t="s">
        <v>7</v>
      </c>
      <c r="G22" s="32">
        <v>43480</v>
      </c>
      <c r="H22" s="30">
        <v>0</v>
      </c>
      <c r="I22" s="32">
        <v>43480</v>
      </c>
      <c r="J22" s="20"/>
      <c r="K22" s="22"/>
      <c r="L22" s="23"/>
    </row>
    <row r="23" spans="1:12" x14ac:dyDescent="0.3">
      <c r="A23" s="30">
        <v>3419</v>
      </c>
      <c r="B23" s="30" t="s">
        <v>80</v>
      </c>
      <c r="C23" s="30" t="s">
        <v>81</v>
      </c>
      <c r="D23" s="31">
        <v>45559</v>
      </c>
      <c r="E23" s="30"/>
      <c r="F23" s="30" t="s">
        <v>7</v>
      </c>
      <c r="G23" s="32">
        <v>25200</v>
      </c>
      <c r="H23" s="30">
        <v>0</v>
      </c>
      <c r="I23" s="32">
        <v>25200</v>
      </c>
      <c r="J23" s="20"/>
      <c r="K23" s="22"/>
      <c r="L23" s="23"/>
    </row>
    <row r="24" spans="1:12" x14ac:dyDescent="0.3">
      <c r="A24" s="30">
        <v>3418</v>
      </c>
      <c r="B24" s="30" t="s">
        <v>80</v>
      </c>
      <c r="C24" s="30" t="s">
        <v>82</v>
      </c>
      <c r="D24" s="31">
        <v>45540</v>
      </c>
      <c r="E24" s="30"/>
      <c r="F24" s="30" t="s">
        <v>7</v>
      </c>
      <c r="G24" s="32">
        <v>160000</v>
      </c>
      <c r="H24" s="30">
        <v>0</v>
      </c>
      <c r="I24" s="32">
        <v>160000</v>
      </c>
      <c r="J24" s="20"/>
      <c r="K24" s="22"/>
      <c r="L24" s="23"/>
    </row>
    <row r="25" spans="1:12" x14ac:dyDescent="0.3">
      <c r="A25" s="40"/>
      <c r="B25" s="40"/>
      <c r="C25" s="40"/>
      <c r="D25" s="41"/>
      <c r="E25" s="40"/>
      <c r="F25" s="40"/>
      <c r="G25" s="42"/>
      <c r="H25" s="40"/>
      <c r="I25" s="42">
        <f>SUM(I3:I24)</f>
        <v>4559232.4000000004</v>
      </c>
      <c r="J25" s="20"/>
      <c r="K25" s="22"/>
      <c r="L25" s="23"/>
    </row>
    <row r="26" spans="1:12" x14ac:dyDescent="0.3">
      <c r="A26" s="40"/>
      <c r="B26" s="40"/>
      <c r="C26" s="40"/>
      <c r="D26" s="41"/>
      <c r="E26" s="40"/>
      <c r="F26" s="40"/>
      <c r="G26" s="42"/>
      <c r="H26" s="40"/>
      <c r="I26" s="42"/>
      <c r="J26" s="20"/>
      <c r="K26" s="22"/>
      <c r="L26" s="23"/>
    </row>
    <row r="27" spans="1:12" x14ac:dyDescent="0.3">
      <c r="A27" s="40"/>
      <c r="B27" s="40"/>
      <c r="C27" s="40"/>
      <c r="D27" s="41"/>
      <c r="E27" s="40"/>
      <c r="F27" s="40"/>
      <c r="G27" s="42"/>
      <c r="H27" s="40"/>
      <c r="I27" s="42"/>
      <c r="J27" s="20"/>
      <c r="K27" s="22"/>
      <c r="L27" s="23"/>
    </row>
    <row r="28" spans="1:12" x14ac:dyDescent="0.3">
      <c r="A28" s="40"/>
      <c r="B28" s="40"/>
      <c r="C28" s="40"/>
      <c r="D28" s="41"/>
      <c r="E28" s="40"/>
      <c r="F28" s="40"/>
      <c r="G28" s="42"/>
      <c r="H28" s="40"/>
      <c r="I28" s="42"/>
      <c r="J28" s="20"/>
      <c r="K28" s="22"/>
      <c r="L28" s="23"/>
    </row>
    <row r="29" spans="1:12" x14ac:dyDescent="0.3">
      <c r="A29" s="40"/>
      <c r="B29" s="40"/>
      <c r="C29" s="40"/>
      <c r="D29" s="41"/>
      <c r="E29" s="40"/>
      <c r="F29" s="40"/>
      <c r="G29" s="42"/>
      <c r="H29" s="40"/>
      <c r="I29" s="42"/>
      <c r="J29" s="20"/>
      <c r="K29" s="22"/>
      <c r="L29" s="23"/>
    </row>
    <row r="30" spans="1:12" x14ac:dyDescent="0.3">
      <c r="A30" s="40"/>
      <c r="B30" s="40"/>
      <c r="C30" s="40"/>
      <c r="D30" s="41"/>
      <c r="E30" s="40"/>
      <c r="F30" s="40"/>
      <c r="G30" s="42"/>
      <c r="H30" s="40"/>
      <c r="I30" s="42"/>
      <c r="J30" s="20"/>
      <c r="K30" s="22"/>
      <c r="L30" s="23"/>
    </row>
    <row r="31" spans="1:12" x14ac:dyDescent="0.3">
      <c r="A31" s="40"/>
      <c r="B31" s="40"/>
      <c r="C31" s="40"/>
      <c r="D31" s="41"/>
      <c r="E31" s="40"/>
      <c r="F31" s="40"/>
      <c r="G31" s="42"/>
      <c r="H31" s="40"/>
      <c r="I31" s="42"/>
      <c r="J31" s="20"/>
      <c r="K31" s="22"/>
      <c r="L31" s="23"/>
    </row>
    <row r="32" spans="1:12" x14ac:dyDescent="0.3">
      <c r="A32" s="40"/>
      <c r="B32" s="40"/>
      <c r="C32" s="40"/>
      <c r="D32" s="41"/>
      <c r="E32" s="40"/>
      <c r="F32" s="40"/>
      <c r="G32" s="42"/>
      <c r="H32" s="40"/>
      <c r="I32" s="42"/>
      <c r="J32" s="20"/>
      <c r="K32" s="22"/>
      <c r="L32" s="23"/>
    </row>
    <row r="33" spans="1:12" x14ac:dyDescent="0.3">
      <c r="A33" s="20"/>
      <c r="B33" s="20"/>
      <c r="C33" s="20"/>
      <c r="D33" s="21"/>
      <c r="E33" s="21"/>
      <c r="F33" s="21"/>
      <c r="G33" s="20"/>
      <c r="H33" s="20"/>
      <c r="I33" s="22"/>
      <c r="J33" s="20"/>
      <c r="K33" s="22"/>
      <c r="L33" s="2"/>
    </row>
    <row r="34" spans="1:12" x14ac:dyDescent="0.3">
      <c r="A34" s="20"/>
      <c r="B34" s="20"/>
      <c r="C34" s="20"/>
      <c r="D34" s="21"/>
      <c r="E34" s="21"/>
      <c r="F34" s="21"/>
      <c r="G34" s="20"/>
      <c r="H34" s="20"/>
      <c r="I34" s="20"/>
      <c r="J34" s="20"/>
      <c r="K34" s="22"/>
      <c r="L34" s="2"/>
    </row>
    <row r="35" spans="1:12" x14ac:dyDescent="0.3">
      <c r="A35" s="20"/>
      <c r="B35" s="20"/>
      <c r="C35" s="20"/>
      <c r="D35" s="21"/>
      <c r="E35" s="21"/>
      <c r="F35" s="21"/>
      <c r="G35" s="20"/>
      <c r="H35" s="20"/>
      <c r="I35" s="20"/>
      <c r="J35" s="20"/>
      <c r="K35" s="22"/>
      <c r="L35" s="2"/>
    </row>
    <row r="36" spans="1:12" x14ac:dyDescent="0.3">
      <c r="A36" s="20"/>
      <c r="B36" s="20"/>
      <c r="C36" s="20"/>
      <c r="D36" s="21"/>
      <c r="E36" s="21"/>
      <c r="F36" s="21"/>
      <c r="G36" s="20"/>
      <c r="H36" s="20"/>
      <c r="I36" s="20"/>
      <c r="J36" s="20"/>
      <c r="K36" s="22"/>
    </row>
    <row r="37" spans="1:12" x14ac:dyDescent="0.3">
      <c r="A37" s="20"/>
      <c r="B37" s="20"/>
      <c r="C37" s="20"/>
      <c r="D37" s="21"/>
      <c r="E37" s="21"/>
      <c r="F37" s="21"/>
      <c r="G37" s="20"/>
      <c r="H37" s="20"/>
      <c r="I37" s="20"/>
      <c r="J37" s="20"/>
      <c r="K37" s="22"/>
    </row>
    <row r="38" spans="1:12" x14ac:dyDescent="0.3">
      <c r="A38" s="20"/>
      <c r="B38" s="20"/>
      <c r="C38" s="20"/>
      <c r="D38" s="21"/>
      <c r="E38" s="21"/>
      <c r="F38" s="21"/>
      <c r="G38" s="20"/>
      <c r="H38" s="20"/>
      <c r="I38" s="20"/>
      <c r="J38" s="20"/>
      <c r="K38" s="22"/>
    </row>
    <row r="39" spans="1:12" x14ac:dyDescent="0.3">
      <c r="A39" s="20"/>
      <c r="B39" s="20"/>
      <c r="C39" s="20"/>
      <c r="D39" s="21"/>
      <c r="E39" s="21"/>
      <c r="F39" s="21"/>
      <c r="G39" s="20"/>
      <c r="H39" s="20"/>
      <c r="I39" s="20"/>
      <c r="J39" s="20"/>
      <c r="K39" s="22"/>
    </row>
    <row r="40" spans="1:12" x14ac:dyDescent="0.3">
      <c r="A40" s="20"/>
      <c r="B40" s="20"/>
      <c r="C40" s="20"/>
      <c r="D40" s="21"/>
      <c r="E40" s="21"/>
      <c r="F40" s="21"/>
      <c r="G40" s="20"/>
      <c r="H40" s="20"/>
      <c r="I40" s="20"/>
      <c r="J40" s="20"/>
      <c r="K40" s="22"/>
    </row>
    <row r="41" spans="1:12" x14ac:dyDescent="0.3">
      <c r="A41" s="20"/>
      <c r="B41" s="20"/>
      <c r="C41" s="20"/>
      <c r="D41" s="21"/>
      <c r="E41" s="21"/>
      <c r="F41" s="21"/>
      <c r="G41" s="20"/>
      <c r="H41" s="20"/>
      <c r="I41" s="20"/>
      <c r="J41" s="20"/>
      <c r="K41" s="22"/>
    </row>
    <row r="42" spans="1:12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3"/>
    </row>
  </sheetData>
  <mergeCells count="1">
    <mergeCell ref="A42:J42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54E2-74DE-4740-920C-060C96F3D04B}">
  <dimension ref="A2:J81"/>
  <sheetViews>
    <sheetView showGridLines="0" topLeftCell="A55" workbookViewId="0">
      <selection activeCell="G69" sqref="G69"/>
    </sheetView>
  </sheetViews>
  <sheetFormatPr defaultColWidth="53.88671875" defaultRowHeight="14.4" x14ac:dyDescent="0.3"/>
  <cols>
    <col min="1" max="1" width="11" style="34" bestFit="1" customWidth="1"/>
    <col min="2" max="2" width="50.21875" style="34" bestFit="1" customWidth="1"/>
    <col min="3" max="3" width="8.21875" style="33" bestFit="1" customWidth="1"/>
    <col min="4" max="4" width="9" style="35" bestFit="1" customWidth="1"/>
    <col min="5" max="5" width="5.33203125" style="35" bestFit="1" customWidth="1"/>
    <col min="6" max="6" width="9.88671875" style="35" bestFit="1" customWidth="1"/>
    <col min="7" max="7" width="11.44140625" style="4" bestFit="1" customWidth="1"/>
    <col min="8" max="8" width="53.88671875" style="33"/>
    <col min="9" max="10" width="53.88671875" style="2"/>
    <col min="11" max="16384" width="53.88671875" style="34"/>
  </cols>
  <sheetData>
    <row r="2" spans="1:7" x14ac:dyDescent="0.3">
      <c r="A2" s="26" t="s">
        <v>11</v>
      </c>
      <c r="B2" s="26" t="s">
        <v>0</v>
      </c>
      <c r="C2" s="27" t="s">
        <v>1</v>
      </c>
      <c r="D2" s="27" t="s">
        <v>29</v>
      </c>
      <c r="E2" s="27" t="s">
        <v>2</v>
      </c>
      <c r="F2" s="27" t="s">
        <v>12</v>
      </c>
      <c r="G2" s="14" t="s">
        <v>13</v>
      </c>
    </row>
    <row r="3" spans="1:7" x14ac:dyDescent="0.3">
      <c r="A3" s="28" t="s">
        <v>83</v>
      </c>
      <c r="B3" s="28" t="s">
        <v>18</v>
      </c>
      <c r="C3" s="28" t="s">
        <v>19</v>
      </c>
      <c r="D3" s="29">
        <v>41014</v>
      </c>
      <c r="E3" s="28" t="s">
        <v>20</v>
      </c>
      <c r="F3" s="29">
        <v>45580</v>
      </c>
      <c r="G3" s="1">
        <v>452.03</v>
      </c>
    </row>
    <row r="4" spans="1:7" x14ac:dyDescent="0.3">
      <c r="A4" s="28" t="s">
        <v>84</v>
      </c>
      <c r="B4" s="28" t="s">
        <v>18</v>
      </c>
      <c r="C4" s="28" t="s">
        <v>19</v>
      </c>
      <c r="D4" s="29">
        <v>41014</v>
      </c>
      <c r="E4" s="28" t="s">
        <v>20</v>
      </c>
      <c r="F4" s="29">
        <v>45580</v>
      </c>
      <c r="G4" s="1">
        <v>5000</v>
      </c>
    </row>
    <row r="5" spans="1:7" x14ac:dyDescent="0.3">
      <c r="A5" s="28" t="s">
        <v>85</v>
      </c>
      <c r="B5" s="28" t="s">
        <v>18</v>
      </c>
      <c r="C5" s="28" t="s">
        <v>19</v>
      </c>
      <c r="D5" s="29">
        <v>41014</v>
      </c>
      <c r="E5" s="28" t="s">
        <v>20</v>
      </c>
      <c r="F5" s="29">
        <v>45580</v>
      </c>
      <c r="G5" s="1">
        <v>1373.26</v>
      </c>
    </row>
    <row r="6" spans="1:7" x14ac:dyDescent="0.3">
      <c r="A6" s="28" t="s">
        <v>86</v>
      </c>
      <c r="B6" s="28" t="s">
        <v>18</v>
      </c>
      <c r="C6" s="28" t="s">
        <v>19</v>
      </c>
      <c r="D6" s="29">
        <v>41014</v>
      </c>
      <c r="E6" s="28" t="s">
        <v>20</v>
      </c>
      <c r="F6" s="29">
        <v>45580</v>
      </c>
      <c r="G6" s="1">
        <v>12.67</v>
      </c>
    </row>
    <row r="7" spans="1:7" x14ac:dyDescent="0.3">
      <c r="A7" s="28" t="s">
        <v>87</v>
      </c>
      <c r="B7" s="28" t="s">
        <v>18</v>
      </c>
      <c r="C7" s="28" t="s">
        <v>19</v>
      </c>
      <c r="D7" s="29">
        <v>41014</v>
      </c>
      <c r="E7" s="28" t="s">
        <v>20</v>
      </c>
      <c r="F7" s="29">
        <v>45580</v>
      </c>
      <c r="G7" s="1">
        <v>50</v>
      </c>
    </row>
    <row r="8" spans="1:7" x14ac:dyDescent="0.3">
      <c r="A8" s="28" t="s">
        <v>88</v>
      </c>
      <c r="B8" s="28" t="s">
        <v>14</v>
      </c>
      <c r="C8" s="28" t="s">
        <v>36</v>
      </c>
      <c r="D8" s="29">
        <v>45264</v>
      </c>
      <c r="E8" s="28"/>
      <c r="F8" s="29">
        <v>45580</v>
      </c>
      <c r="G8" s="1">
        <v>10800</v>
      </c>
    </row>
    <row r="9" spans="1:7" x14ac:dyDescent="0.3">
      <c r="A9" s="28" t="s">
        <v>89</v>
      </c>
      <c r="B9" s="28" t="s">
        <v>90</v>
      </c>
      <c r="C9" s="28" t="s">
        <v>91</v>
      </c>
      <c r="D9" s="29">
        <v>45301</v>
      </c>
      <c r="E9" s="28"/>
      <c r="F9" s="29">
        <v>45580</v>
      </c>
      <c r="G9" s="1">
        <v>7789.1</v>
      </c>
    </row>
    <row r="10" spans="1:7" x14ac:dyDescent="0.3">
      <c r="A10" s="28" t="s">
        <v>92</v>
      </c>
      <c r="B10" s="28" t="s">
        <v>90</v>
      </c>
      <c r="C10" s="28" t="s">
        <v>93</v>
      </c>
      <c r="D10" s="29">
        <v>45320</v>
      </c>
      <c r="E10" s="28"/>
      <c r="F10" s="29">
        <v>45580</v>
      </c>
      <c r="G10" s="1">
        <v>11634</v>
      </c>
    </row>
    <row r="11" spans="1:7" x14ac:dyDescent="0.3">
      <c r="A11" s="28" t="s">
        <v>94</v>
      </c>
      <c r="B11" s="28" t="s">
        <v>95</v>
      </c>
      <c r="C11" s="28" t="s">
        <v>96</v>
      </c>
      <c r="D11" s="29">
        <v>45385</v>
      </c>
      <c r="E11" s="28"/>
      <c r="F11" s="29">
        <v>45580</v>
      </c>
      <c r="G11" s="1">
        <v>7450</v>
      </c>
    </row>
    <row r="12" spans="1:7" x14ac:dyDescent="0.3">
      <c r="A12" s="28" t="s">
        <v>97</v>
      </c>
      <c r="B12" s="28" t="s">
        <v>98</v>
      </c>
      <c r="C12" s="28" t="s">
        <v>99</v>
      </c>
      <c r="D12" s="29">
        <v>45400</v>
      </c>
      <c r="E12" s="28"/>
      <c r="F12" s="29">
        <v>45580</v>
      </c>
      <c r="G12" s="1">
        <v>4859</v>
      </c>
    </row>
    <row r="13" spans="1:7" x14ac:dyDescent="0.3">
      <c r="A13" s="28" t="s">
        <v>100</v>
      </c>
      <c r="B13" s="28" t="s">
        <v>21</v>
      </c>
      <c r="C13" s="28" t="s">
        <v>101</v>
      </c>
      <c r="D13" s="29">
        <v>45412</v>
      </c>
      <c r="E13" s="28"/>
      <c r="F13" s="29">
        <v>45580</v>
      </c>
      <c r="G13" s="1">
        <v>4400</v>
      </c>
    </row>
    <row r="14" spans="1:7" x14ac:dyDescent="0.3">
      <c r="A14" s="28" t="s">
        <v>102</v>
      </c>
      <c r="B14" s="28" t="s">
        <v>17</v>
      </c>
      <c r="C14" s="28" t="s">
        <v>35</v>
      </c>
      <c r="D14" s="29">
        <v>45416</v>
      </c>
      <c r="E14" s="28"/>
      <c r="F14" s="29">
        <v>45580</v>
      </c>
      <c r="G14" s="1">
        <v>4510</v>
      </c>
    </row>
    <row r="15" spans="1:7" x14ac:dyDescent="0.3">
      <c r="A15" s="28" t="s">
        <v>103</v>
      </c>
      <c r="B15" s="28" t="s">
        <v>39</v>
      </c>
      <c r="C15" s="28" t="s">
        <v>104</v>
      </c>
      <c r="D15" s="29">
        <v>45419</v>
      </c>
      <c r="E15" s="28"/>
      <c r="F15" s="29">
        <v>45580</v>
      </c>
      <c r="G15" s="1">
        <v>4984.26</v>
      </c>
    </row>
    <row r="16" spans="1:7" x14ac:dyDescent="0.3">
      <c r="A16" s="28" t="s">
        <v>105</v>
      </c>
      <c r="B16" s="28" t="s">
        <v>30</v>
      </c>
      <c r="C16" s="28" t="s">
        <v>106</v>
      </c>
      <c r="D16" s="29">
        <v>45426</v>
      </c>
      <c r="E16" s="28"/>
      <c r="F16" s="29">
        <v>45580</v>
      </c>
      <c r="G16" s="1">
        <v>0.5</v>
      </c>
    </row>
    <row r="17" spans="1:7" x14ac:dyDescent="0.3">
      <c r="A17" s="28" t="s">
        <v>107</v>
      </c>
      <c r="B17" s="28" t="s">
        <v>108</v>
      </c>
      <c r="C17" s="28" t="s">
        <v>109</v>
      </c>
      <c r="D17" s="29">
        <v>45449</v>
      </c>
      <c r="E17" s="28"/>
      <c r="F17" s="29">
        <v>45580</v>
      </c>
      <c r="G17" s="1">
        <v>625</v>
      </c>
    </row>
    <row r="18" spans="1:7" x14ac:dyDescent="0.3">
      <c r="A18" s="28" t="s">
        <v>110</v>
      </c>
      <c r="B18" s="28" t="s">
        <v>34</v>
      </c>
      <c r="C18" s="28" t="s">
        <v>111</v>
      </c>
      <c r="D18" s="29">
        <v>45453</v>
      </c>
      <c r="E18" s="28"/>
      <c r="F18" s="29">
        <v>45580</v>
      </c>
      <c r="G18" s="1">
        <v>5000</v>
      </c>
    </row>
    <row r="19" spans="1:7" x14ac:dyDescent="0.3">
      <c r="A19" s="28" t="s">
        <v>112</v>
      </c>
      <c r="B19" s="28" t="s">
        <v>113</v>
      </c>
      <c r="C19" s="28" t="s">
        <v>114</v>
      </c>
      <c r="D19" s="29">
        <v>45459</v>
      </c>
      <c r="E19" s="28"/>
      <c r="F19" s="29">
        <v>45580</v>
      </c>
      <c r="G19" s="1">
        <v>6000</v>
      </c>
    </row>
    <row r="20" spans="1:7" x14ac:dyDescent="0.3">
      <c r="A20" s="28" t="s">
        <v>115</v>
      </c>
      <c r="B20" s="28" t="s">
        <v>113</v>
      </c>
      <c r="C20" s="28" t="s">
        <v>114</v>
      </c>
      <c r="D20" s="29">
        <v>45459</v>
      </c>
      <c r="E20" s="28"/>
      <c r="F20" s="29">
        <v>45580</v>
      </c>
      <c r="G20" s="1">
        <v>12473.75</v>
      </c>
    </row>
    <row r="21" spans="1:7" x14ac:dyDescent="0.3">
      <c r="A21" s="28" t="s">
        <v>116</v>
      </c>
      <c r="B21" s="28" t="s">
        <v>8</v>
      </c>
      <c r="C21" s="28" t="s">
        <v>117</v>
      </c>
      <c r="D21" s="29">
        <v>45461</v>
      </c>
      <c r="E21" s="28"/>
      <c r="F21" s="29">
        <v>45580</v>
      </c>
      <c r="G21" s="1">
        <v>1000</v>
      </c>
    </row>
    <row r="22" spans="1:7" x14ac:dyDescent="0.3">
      <c r="A22" s="28" t="s">
        <v>118</v>
      </c>
      <c r="B22" s="28" t="s">
        <v>119</v>
      </c>
      <c r="C22" s="28" t="s">
        <v>120</v>
      </c>
      <c r="D22" s="29">
        <v>45463</v>
      </c>
      <c r="E22" s="28"/>
      <c r="F22" s="29">
        <v>45580</v>
      </c>
      <c r="G22" s="1">
        <v>295.61</v>
      </c>
    </row>
    <row r="23" spans="1:7" x14ac:dyDescent="0.3">
      <c r="A23" s="28" t="s">
        <v>121</v>
      </c>
      <c r="B23" s="28" t="s">
        <v>122</v>
      </c>
      <c r="C23" s="28" t="s">
        <v>123</v>
      </c>
      <c r="D23" s="29">
        <v>45464</v>
      </c>
      <c r="E23" s="28"/>
      <c r="F23" s="29">
        <v>45580</v>
      </c>
      <c r="G23" s="1">
        <v>1800</v>
      </c>
    </row>
    <row r="24" spans="1:7" x14ac:dyDescent="0.3">
      <c r="A24" s="28" t="s">
        <v>124</v>
      </c>
      <c r="B24" s="28" t="s">
        <v>125</v>
      </c>
      <c r="C24" s="28" t="s">
        <v>126</v>
      </c>
      <c r="D24" s="29">
        <v>45469</v>
      </c>
      <c r="E24" s="28"/>
      <c r="F24" s="29">
        <v>45580</v>
      </c>
      <c r="G24" s="1">
        <v>621.07000000000005</v>
      </c>
    </row>
    <row r="25" spans="1:7" x14ac:dyDescent="0.3">
      <c r="A25" s="28" t="s">
        <v>127</v>
      </c>
      <c r="B25" s="28" t="s">
        <v>78</v>
      </c>
      <c r="C25" s="28" t="s">
        <v>128</v>
      </c>
      <c r="D25" s="29">
        <v>45474</v>
      </c>
      <c r="E25" s="28"/>
      <c r="F25" s="29">
        <v>45580</v>
      </c>
      <c r="G25" s="1">
        <v>4500</v>
      </c>
    </row>
    <row r="26" spans="1:7" x14ac:dyDescent="0.3">
      <c r="A26" s="28" t="s">
        <v>129</v>
      </c>
      <c r="B26" s="28" t="s">
        <v>78</v>
      </c>
      <c r="C26" s="28" t="s">
        <v>128</v>
      </c>
      <c r="D26" s="29">
        <v>45474</v>
      </c>
      <c r="E26" s="28"/>
      <c r="F26" s="29">
        <v>45580</v>
      </c>
      <c r="G26" s="1">
        <v>5750</v>
      </c>
    </row>
    <row r="27" spans="1:7" x14ac:dyDescent="0.3">
      <c r="A27" s="28" t="s">
        <v>130</v>
      </c>
      <c r="B27" s="28" t="s">
        <v>42</v>
      </c>
      <c r="C27" s="28" t="s">
        <v>131</v>
      </c>
      <c r="D27" s="29">
        <v>45475</v>
      </c>
      <c r="E27" s="28"/>
      <c r="F27" s="29">
        <v>45580</v>
      </c>
      <c r="G27" s="1">
        <v>1500</v>
      </c>
    </row>
    <row r="28" spans="1:7" x14ac:dyDescent="0.3">
      <c r="A28" s="28" t="s">
        <v>132</v>
      </c>
      <c r="B28" s="28" t="s">
        <v>133</v>
      </c>
      <c r="C28" s="28" t="s">
        <v>134</v>
      </c>
      <c r="D28" s="29">
        <v>45477</v>
      </c>
      <c r="E28" s="28"/>
      <c r="F28" s="29">
        <v>45580</v>
      </c>
      <c r="G28" s="1">
        <v>7650</v>
      </c>
    </row>
    <row r="29" spans="1:7" x14ac:dyDescent="0.3">
      <c r="A29" s="28" t="s">
        <v>135</v>
      </c>
      <c r="B29" s="28" t="s">
        <v>136</v>
      </c>
      <c r="C29" s="28" t="s">
        <v>137</v>
      </c>
      <c r="D29" s="29">
        <v>45484</v>
      </c>
      <c r="E29" s="28"/>
      <c r="F29" s="29">
        <v>45580</v>
      </c>
      <c r="G29" s="1">
        <v>2022</v>
      </c>
    </row>
    <row r="30" spans="1:7" x14ac:dyDescent="0.3">
      <c r="A30" s="28" t="s">
        <v>138</v>
      </c>
      <c r="B30" s="28" t="s">
        <v>136</v>
      </c>
      <c r="C30" s="28" t="s">
        <v>137</v>
      </c>
      <c r="D30" s="29">
        <v>45484</v>
      </c>
      <c r="E30" s="28"/>
      <c r="F30" s="29">
        <v>45580</v>
      </c>
      <c r="G30" s="1">
        <v>1100</v>
      </c>
    </row>
    <row r="31" spans="1:7" x14ac:dyDescent="0.3">
      <c r="A31" s="28" t="s">
        <v>139</v>
      </c>
      <c r="B31" s="28" t="s">
        <v>140</v>
      </c>
      <c r="C31" s="28" t="s">
        <v>141</v>
      </c>
      <c r="D31" s="29">
        <v>45485</v>
      </c>
      <c r="E31" s="28"/>
      <c r="F31" s="29">
        <v>45580</v>
      </c>
      <c r="G31" s="1">
        <v>300</v>
      </c>
    </row>
    <row r="32" spans="1:7" x14ac:dyDescent="0.3">
      <c r="A32" s="28" t="s">
        <v>142</v>
      </c>
      <c r="B32" s="28" t="s">
        <v>143</v>
      </c>
      <c r="C32" s="28" t="s">
        <v>144</v>
      </c>
      <c r="D32" s="29">
        <v>45489</v>
      </c>
      <c r="E32" s="28"/>
      <c r="F32" s="29">
        <v>45580</v>
      </c>
      <c r="G32" s="1">
        <v>1084</v>
      </c>
    </row>
    <row r="33" spans="1:7" x14ac:dyDescent="0.3">
      <c r="A33" s="28" t="s">
        <v>145</v>
      </c>
      <c r="B33" s="28" t="s">
        <v>46</v>
      </c>
      <c r="C33" s="28" t="s">
        <v>47</v>
      </c>
      <c r="D33" s="29">
        <v>45489</v>
      </c>
      <c r="E33" s="28"/>
      <c r="F33" s="29">
        <v>45580</v>
      </c>
      <c r="G33" s="1">
        <v>5200</v>
      </c>
    </row>
    <row r="34" spans="1:7" x14ac:dyDescent="0.3">
      <c r="A34" s="28" t="s">
        <v>146</v>
      </c>
      <c r="B34" s="28" t="s">
        <v>143</v>
      </c>
      <c r="C34" s="28" t="s">
        <v>144</v>
      </c>
      <c r="D34" s="29">
        <v>45489</v>
      </c>
      <c r="E34" s="28"/>
      <c r="F34" s="29">
        <v>45580</v>
      </c>
      <c r="G34" s="1">
        <v>6800</v>
      </c>
    </row>
    <row r="35" spans="1:7" x14ac:dyDescent="0.3">
      <c r="A35" s="28" t="s">
        <v>147</v>
      </c>
      <c r="B35" s="28" t="s">
        <v>148</v>
      </c>
      <c r="C35" s="28" t="s">
        <v>149</v>
      </c>
      <c r="D35" s="29">
        <v>45495</v>
      </c>
      <c r="E35" s="28"/>
      <c r="F35" s="29">
        <v>45580</v>
      </c>
      <c r="G35" s="1">
        <v>800</v>
      </c>
    </row>
    <row r="36" spans="1:7" x14ac:dyDescent="0.3">
      <c r="A36" s="28" t="s">
        <v>150</v>
      </c>
      <c r="B36" s="28" t="s">
        <v>151</v>
      </c>
      <c r="C36" s="28" t="s">
        <v>152</v>
      </c>
      <c r="D36" s="29">
        <v>45495</v>
      </c>
      <c r="E36" s="28"/>
      <c r="F36" s="29">
        <v>45580</v>
      </c>
      <c r="G36" s="1">
        <v>11000</v>
      </c>
    </row>
    <row r="37" spans="1:7" x14ac:dyDescent="0.3">
      <c r="A37" s="28" t="s">
        <v>153</v>
      </c>
      <c r="B37" s="28" t="s">
        <v>154</v>
      </c>
      <c r="C37" s="28" t="s">
        <v>155</v>
      </c>
      <c r="D37" s="29">
        <v>45495</v>
      </c>
      <c r="E37" s="28"/>
      <c r="F37" s="29">
        <v>45580</v>
      </c>
      <c r="G37" s="1">
        <v>12500</v>
      </c>
    </row>
    <row r="38" spans="1:7" x14ac:dyDescent="0.3">
      <c r="A38" s="28" t="s">
        <v>156</v>
      </c>
      <c r="B38" s="28" t="s">
        <v>38</v>
      </c>
      <c r="C38" s="28" t="s">
        <v>157</v>
      </c>
      <c r="D38" s="29">
        <v>45498</v>
      </c>
      <c r="E38" s="28"/>
      <c r="F38" s="29">
        <v>45580</v>
      </c>
      <c r="G38" s="1">
        <v>1365</v>
      </c>
    </row>
    <row r="39" spans="1:7" x14ac:dyDescent="0.3">
      <c r="A39" s="28" t="s">
        <v>158</v>
      </c>
      <c r="B39" s="28" t="s">
        <v>34</v>
      </c>
      <c r="C39" s="28" t="s">
        <v>159</v>
      </c>
      <c r="D39" s="29">
        <v>45499</v>
      </c>
      <c r="E39" s="28"/>
      <c r="F39" s="29">
        <v>45580</v>
      </c>
      <c r="G39" s="1">
        <v>12000</v>
      </c>
    </row>
    <row r="40" spans="1:7" x14ac:dyDescent="0.3">
      <c r="A40" s="28" t="s">
        <v>160</v>
      </c>
      <c r="B40" s="28" t="s">
        <v>34</v>
      </c>
      <c r="C40" s="28" t="s">
        <v>159</v>
      </c>
      <c r="D40" s="29">
        <v>45499</v>
      </c>
      <c r="E40" s="28"/>
      <c r="F40" s="29">
        <v>45580</v>
      </c>
      <c r="G40" s="1">
        <v>1810</v>
      </c>
    </row>
    <row r="41" spans="1:7" x14ac:dyDescent="0.3">
      <c r="A41" s="28" t="s">
        <v>161</v>
      </c>
      <c r="B41" s="28" t="s">
        <v>44</v>
      </c>
      <c r="C41" s="28" t="s">
        <v>162</v>
      </c>
      <c r="D41" s="29">
        <v>45502</v>
      </c>
      <c r="E41" s="28"/>
      <c r="F41" s="29">
        <v>45580</v>
      </c>
      <c r="G41" s="1">
        <v>19375</v>
      </c>
    </row>
    <row r="42" spans="1:7" x14ac:dyDescent="0.3">
      <c r="A42" s="28" t="s">
        <v>163</v>
      </c>
      <c r="B42" s="28" t="s">
        <v>9</v>
      </c>
      <c r="C42" s="28" t="s">
        <v>164</v>
      </c>
      <c r="D42" s="29">
        <v>45505</v>
      </c>
      <c r="E42" s="28"/>
      <c r="F42" s="29">
        <v>45505</v>
      </c>
      <c r="G42" s="1">
        <v>3400</v>
      </c>
    </row>
    <row r="43" spans="1:7" x14ac:dyDescent="0.3">
      <c r="A43" s="28" t="s">
        <v>165</v>
      </c>
      <c r="B43" s="28" t="s">
        <v>9</v>
      </c>
      <c r="C43" s="28" t="s">
        <v>164</v>
      </c>
      <c r="D43" s="29">
        <v>45505</v>
      </c>
      <c r="E43" s="28"/>
      <c r="F43" s="29">
        <v>45505</v>
      </c>
      <c r="G43" s="1">
        <v>1500</v>
      </c>
    </row>
    <row r="44" spans="1:7" x14ac:dyDescent="0.3">
      <c r="A44" s="28" t="s">
        <v>166</v>
      </c>
      <c r="B44" s="28" t="s">
        <v>10</v>
      </c>
      <c r="C44" s="28" t="s">
        <v>167</v>
      </c>
      <c r="D44" s="29">
        <v>45511</v>
      </c>
      <c r="E44" s="28"/>
      <c r="F44" s="29">
        <v>45511</v>
      </c>
      <c r="G44" s="1">
        <v>2745</v>
      </c>
    </row>
    <row r="45" spans="1:7" x14ac:dyDescent="0.3">
      <c r="A45" s="28" t="s">
        <v>168</v>
      </c>
      <c r="B45" s="28" t="s">
        <v>15</v>
      </c>
      <c r="C45" s="28" t="s">
        <v>169</v>
      </c>
      <c r="D45" s="29">
        <v>45516</v>
      </c>
      <c r="E45" s="28"/>
      <c r="F45" s="29">
        <v>45516</v>
      </c>
      <c r="G45" s="1">
        <v>300</v>
      </c>
    </row>
    <row r="46" spans="1:7" x14ac:dyDescent="0.3">
      <c r="A46" s="28" t="s">
        <v>170</v>
      </c>
      <c r="B46" s="28" t="s">
        <v>21</v>
      </c>
      <c r="C46" s="28" t="s">
        <v>171</v>
      </c>
      <c r="D46" s="29">
        <v>45517</v>
      </c>
      <c r="E46" s="28"/>
      <c r="F46" s="29">
        <v>45580</v>
      </c>
      <c r="G46" s="1">
        <v>9000</v>
      </c>
    </row>
    <row r="47" spans="1:7" x14ac:dyDescent="0.3">
      <c r="A47" s="28" t="s">
        <v>172</v>
      </c>
      <c r="B47" s="28" t="s">
        <v>21</v>
      </c>
      <c r="C47" s="28" t="s">
        <v>171</v>
      </c>
      <c r="D47" s="29">
        <v>45517</v>
      </c>
      <c r="E47" s="28"/>
      <c r="F47" s="29">
        <v>45517</v>
      </c>
      <c r="G47" s="1">
        <v>1800</v>
      </c>
    </row>
    <row r="48" spans="1:7" x14ac:dyDescent="0.3">
      <c r="A48" s="28" t="s">
        <v>173</v>
      </c>
      <c r="B48" s="28" t="s">
        <v>174</v>
      </c>
      <c r="C48" s="28" t="s">
        <v>175</v>
      </c>
      <c r="D48" s="29">
        <v>45518</v>
      </c>
      <c r="E48" s="28"/>
      <c r="F48" s="29">
        <v>45518</v>
      </c>
      <c r="G48" s="1">
        <v>4800</v>
      </c>
    </row>
    <row r="49" spans="1:7" x14ac:dyDescent="0.3">
      <c r="A49" s="28" t="s">
        <v>176</v>
      </c>
      <c r="B49" s="28" t="s">
        <v>177</v>
      </c>
      <c r="C49" s="28" t="s">
        <v>178</v>
      </c>
      <c r="D49" s="29">
        <v>45519</v>
      </c>
      <c r="E49" s="28"/>
      <c r="F49" s="29">
        <v>45519</v>
      </c>
      <c r="G49" s="1">
        <v>300</v>
      </c>
    </row>
    <row r="50" spans="1:7" x14ac:dyDescent="0.3">
      <c r="A50" s="28" t="s">
        <v>179</v>
      </c>
      <c r="B50" s="28" t="s">
        <v>136</v>
      </c>
      <c r="C50" s="28" t="s">
        <v>180</v>
      </c>
      <c r="D50" s="29">
        <v>45526</v>
      </c>
      <c r="E50" s="28"/>
      <c r="F50" s="29">
        <v>45526</v>
      </c>
      <c r="G50" s="1">
        <v>21500</v>
      </c>
    </row>
    <row r="51" spans="1:7" x14ac:dyDescent="0.3">
      <c r="A51" s="28" t="s">
        <v>181</v>
      </c>
      <c r="B51" s="28" t="s">
        <v>38</v>
      </c>
      <c r="C51" s="28" t="s">
        <v>182</v>
      </c>
      <c r="D51" s="29">
        <v>45527</v>
      </c>
      <c r="E51" s="28"/>
      <c r="F51" s="29">
        <v>45527</v>
      </c>
      <c r="G51" s="1">
        <v>10000</v>
      </c>
    </row>
    <row r="52" spans="1:7" x14ac:dyDescent="0.3">
      <c r="A52" s="28" t="s">
        <v>183</v>
      </c>
      <c r="B52" s="28" t="s">
        <v>136</v>
      </c>
      <c r="C52" s="28" t="s">
        <v>184</v>
      </c>
      <c r="D52" s="29">
        <v>45528</v>
      </c>
      <c r="E52" s="28"/>
      <c r="F52" s="29">
        <v>45528</v>
      </c>
      <c r="G52" s="1">
        <v>11000</v>
      </c>
    </row>
    <row r="53" spans="1:7" x14ac:dyDescent="0.3">
      <c r="A53" s="28" t="s">
        <v>185</v>
      </c>
      <c r="B53" s="28" t="s">
        <v>76</v>
      </c>
      <c r="C53" s="28" t="s">
        <v>186</v>
      </c>
      <c r="D53" s="29">
        <v>45532</v>
      </c>
      <c r="E53" s="28"/>
      <c r="F53" s="29">
        <v>45532</v>
      </c>
      <c r="G53" s="1">
        <v>700</v>
      </c>
    </row>
    <row r="54" spans="1:7" x14ac:dyDescent="0.3">
      <c r="A54" s="28" t="s">
        <v>187</v>
      </c>
      <c r="B54" s="28" t="s">
        <v>188</v>
      </c>
      <c r="C54" s="28" t="s">
        <v>189</v>
      </c>
      <c r="D54" s="29">
        <v>45533</v>
      </c>
      <c r="E54" s="28"/>
      <c r="F54" s="29">
        <v>45533</v>
      </c>
      <c r="G54" s="1">
        <v>700</v>
      </c>
    </row>
    <row r="55" spans="1:7" x14ac:dyDescent="0.3">
      <c r="A55" s="28" t="s">
        <v>190</v>
      </c>
      <c r="B55" s="28" t="s">
        <v>188</v>
      </c>
      <c r="C55" s="28" t="s">
        <v>189</v>
      </c>
      <c r="D55" s="29">
        <v>45533</v>
      </c>
      <c r="E55" s="28"/>
      <c r="F55" s="29">
        <v>45533</v>
      </c>
      <c r="G55" s="1">
        <v>700</v>
      </c>
    </row>
    <row r="56" spans="1:7" x14ac:dyDescent="0.3">
      <c r="A56" s="28" t="s">
        <v>191</v>
      </c>
      <c r="B56" s="28" t="s">
        <v>188</v>
      </c>
      <c r="C56" s="28" t="s">
        <v>189</v>
      </c>
      <c r="D56" s="29">
        <v>45533</v>
      </c>
      <c r="E56" s="28"/>
      <c r="F56" s="29">
        <v>45533</v>
      </c>
      <c r="G56" s="1">
        <v>1500</v>
      </c>
    </row>
    <row r="57" spans="1:7" x14ac:dyDescent="0.3">
      <c r="A57" s="28" t="s">
        <v>192</v>
      </c>
      <c r="B57" s="28" t="s">
        <v>188</v>
      </c>
      <c r="C57" s="28" t="s">
        <v>189</v>
      </c>
      <c r="D57" s="29">
        <v>45533</v>
      </c>
      <c r="E57" s="28"/>
      <c r="F57" s="29">
        <v>45533</v>
      </c>
      <c r="G57" s="1">
        <v>2489</v>
      </c>
    </row>
    <row r="58" spans="1:7" x14ac:dyDescent="0.3">
      <c r="A58" s="28" t="s">
        <v>193</v>
      </c>
      <c r="B58" s="28" t="s">
        <v>22</v>
      </c>
      <c r="C58" s="28" t="s">
        <v>194</v>
      </c>
      <c r="D58" s="29">
        <v>45533</v>
      </c>
      <c r="E58" s="28"/>
      <c r="F58" s="29">
        <v>45533</v>
      </c>
      <c r="G58" s="1">
        <v>700</v>
      </c>
    </row>
    <row r="59" spans="1:7" x14ac:dyDescent="0.3">
      <c r="A59" s="28" t="s">
        <v>195</v>
      </c>
      <c r="B59" s="28" t="s">
        <v>196</v>
      </c>
      <c r="C59" s="28" t="s">
        <v>197</v>
      </c>
      <c r="D59" s="29">
        <v>45534</v>
      </c>
      <c r="E59" s="28"/>
      <c r="F59" s="29">
        <v>45534</v>
      </c>
      <c r="G59" s="1">
        <v>9500</v>
      </c>
    </row>
    <row r="60" spans="1:7" x14ac:dyDescent="0.3">
      <c r="A60" s="28" t="s">
        <v>198</v>
      </c>
      <c r="B60" s="28" t="s">
        <v>196</v>
      </c>
      <c r="C60" s="28" t="s">
        <v>197</v>
      </c>
      <c r="D60" s="29">
        <v>45534</v>
      </c>
      <c r="E60" s="28"/>
      <c r="F60" s="29">
        <v>45534</v>
      </c>
      <c r="G60" s="1">
        <v>700</v>
      </c>
    </row>
    <row r="61" spans="1:7" x14ac:dyDescent="0.3">
      <c r="A61" s="28" t="s">
        <v>199</v>
      </c>
      <c r="B61" s="28" t="s">
        <v>196</v>
      </c>
      <c r="C61" s="28" t="s">
        <v>197</v>
      </c>
      <c r="D61" s="29">
        <v>45534</v>
      </c>
      <c r="E61" s="28"/>
      <c r="F61" s="29">
        <v>45534</v>
      </c>
      <c r="G61" s="1">
        <v>1699</v>
      </c>
    </row>
    <row r="62" spans="1:7" x14ac:dyDescent="0.3">
      <c r="A62" s="28" t="s">
        <v>200</v>
      </c>
      <c r="B62" s="28" t="s">
        <v>201</v>
      </c>
      <c r="C62" s="28" t="s">
        <v>202</v>
      </c>
      <c r="D62" s="29">
        <v>45538</v>
      </c>
      <c r="E62" s="28"/>
      <c r="F62" s="29">
        <v>45580</v>
      </c>
      <c r="G62" s="1">
        <v>12000</v>
      </c>
    </row>
    <row r="63" spans="1:7" x14ac:dyDescent="0.3">
      <c r="A63" s="28" t="s">
        <v>203</v>
      </c>
      <c r="B63" s="28" t="s">
        <v>201</v>
      </c>
      <c r="C63" s="28" t="s">
        <v>202</v>
      </c>
      <c r="D63" s="29">
        <v>45538</v>
      </c>
      <c r="E63" s="28"/>
      <c r="F63" s="29">
        <v>45538</v>
      </c>
      <c r="G63" s="1">
        <v>1700</v>
      </c>
    </row>
    <row r="64" spans="1:7" x14ac:dyDescent="0.3">
      <c r="A64" s="28" t="s">
        <v>204</v>
      </c>
      <c r="B64" s="28" t="s">
        <v>201</v>
      </c>
      <c r="C64" s="28" t="s">
        <v>202</v>
      </c>
      <c r="D64" s="29">
        <v>45538</v>
      </c>
      <c r="E64" s="28"/>
      <c r="F64" s="29">
        <v>45538</v>
      </c>
      <c r="G64" s="1">
        <v>1800</v>
      </c>
    </row>
    <row r="65" spans="1:7" x14ac:dyDescent="0.3">
      <c r="A65" s="28" t="s">
        <v>205</v>
      </c>
      <c r="B65" s="28" t="s">
        <v>206</v>
      </c>
      <c r="C65" s="28" t="s">
        <v>207</v>
      </c>
      <c r="D65" s="29">
        <v>45541</v>
      </c>
      <c r="E65" s="28"/>
      <c r="F65" s="29">
        <v>45541</v>
      </c>
      <c r="G65" s="1">
        <v>1666.64</v>
      </c>
    </row>
    <row r="66" spans="1:7" x14ac:dyDescent="0.3">
      <c r="A66" s="28" t="s">
        <v>208</v>
      </c>
      <c r="B66" s="28" t="s">
        <v>18</v>
      </c>
      <c r="C66" s="28" t="s">
        <v>19</v>
      </c>
      <c r="D66" s="29">
        <v>41014</v>
      </c>
      <c r="E66" s="28" t="s">
        <v>20</v>
      </c>
      <c r="F66" s="29">
        <v>45580</v>
      </c>
      <c r="G66" s="1">
        <v>112.94</v>
      </c>
    </row>
    <row r="67" spans="1:7" x14ac:dyDescent="0.3">
      <c r="A67" s="28" t="s">
        <v>209</v>
      </c>
      <c r="B67" s="28" t="s">
        <v>18</v>
      </c>
      <c r="C67" s="28" t="s">
        <v>19</v>
      </c>
      <c r="D67" s="29">
        <v>41014</v>
      </c>
      <c r="E67" s="28" t="s">
        <v>20</v>
      </c>
      <c r="F67" s="29">
        <v>45580</v>
      </c>
      <c r="G67" s="1">
        <v>2944.12</v>
      </c>
    </row>
    <row r="68" spans="1:7" x14ac:dyDescent="0.3">
      <c r="A68" s="38"/>
      <c r="B68" s="38"/>
      <c r="C68" s="38"/>
      <c r="D68" s="39"/>
      <c r="E68" s="38"/>
      <c r="F68" s="39"/>
      <c r="G68" s="3">
        <f>SUM(G3:G67)</f>
        <v>291142.95</v>
      </c>
    </row>
    <row r="69" spans="1:7" x14ac:dyDescent="0.3">
      <c r="A69" s="38"/>
      <c r="B69" s="38"/>
      <c r="C69" s="38"/>
      <c r="D69" s="39"/>
      <c r="E69" s="38"/>
      <c r="F69" s="39"/>
      <c r="G69" s="3"/>
    </row>
    <row r="70" spans="1:7" x14ac:dyDescent="0.3">
      <c r="A70" s="38"/>
      <c r="B70" s="38"/>
      <c r="C70" s="38"/>
      <c r="D70" s="39"/>
      <c r="E70" s="38"/>
      <c r="F70" s="39"/>
      <c r="G70" s="3"/>
    </row>
    <row r="71" spans="1:7" x14ac:dyDescent="0.3">
      <c r="A71" s="38"/>
      <c r="B71" s="38"/>
      <c r="C71" s="38"/>
      <c r="D71" s="39"/>
      <c r="E71" s="38"/>
      <c r="F71" s="39"/>
      <c r="G71" s="3"/>
    </row>
    <row r="72" spans="1:7" x14ac:dyDescent="0.3">
      <c r="A72" s="38"/>
      <c r="B72" s="38"/>
      <c r="C72" s="38"/>
      <c r="D72" s="39"/>
      <c r="E72" s="38"/>
      <c r="F72" s="39"/>
      <c r="G72" s="3"/>
    </row>
    <row r="73" spans="1:7" x14ac:dyDescent="0.3">
      <c r="A73" s="38"/>
      <c r="B73" s="38"/>
      <c r="C73" s="38"/>
      <c r="D73" s="39"/>
      <c r="E73" s="38"/>
      <c r="F73" s="39"/>
      <c r="G73" s="3"/>
    </row>
    <row r="74" spans="1:7" x14ac:dyDescent="0.3">
      <c r="A74" s="38"/>
      <c r="B74" s="38"/>
      <c r="C74" s="38"/>
      <c r="D74" s="39"/>
      <c r="E74" s="38"/>
      <c r="F74" s="39"/>
      <c r="G74" s="3"/>
    </row>
    <row r="75" spans="1:7" x14ac:dyDescent="0.3">
      <c r="A75" s="38"/>
      <c r="B75" s="38"/>
      <c r="C75" s="38"/>
      <c r="D75" s="39"/>
      <c r="E75" s="38"/>
      <c r="F75" s="39"/>
      <c r="G75" s="3"/>
    </row>
    <row r="76" spans="1:7" x14ac:dyDescent="0.3">
      <c r="A76" s="38"/>
      <c r="B76" s="38"/>
      <c r="C76" s="38"/>
      <c r="D76" s="39"/>
      <c r="E76" s="38"/>
      <c r="F76" s="39"/>
      <c r="G76" s="3"/>
    </row>
    <row r="77" spans="1:7" x14ac:dyDescent="0.3">
      <c r="A77" s="38"/>
      <c r="B77" s="38"/>
      <c r="C77" s="38"/>
      <c r="D77" s="39"/>
      <c r="E77" s="38"/>
      <c r="F77" s="39"/>
      <c r="G77" s="3"/>
    </row>
    <row r="78" spans="1:7" x14ac:dyDescent="0.3">
      <c r="A78" s="38"/>
      <c r="B78" s="38"/>
      <c r="C78" s="38"/>
      <c r="D78" s="39"/>
      <c r="E78" s="38"/>
      <c r="F78" s="39"/>
      <c r="G78" s="3"/>
    </row>
    <row r="79" spans="1:7" x14ac:dyDescent="0.3">
      <c r="A79" s="38"/>
      <c r="B79" s="38"/>
      <c r="C79" s="38"/>
      <c r="D79" s="39"/>
      <c r="E79" s="38"/>
      <c r="F79" s="39"/>
      <c r="G79" s="3"/>
    </row>
    <row r="80" spans="1:7" x14ac:dyDescent="0.3">
      <c r="A80" s="38"/>
      <c r="B80" s="38"/>
      <c r="C80" s="38"/>
      <c r="D80" s="39"/>
      <c r="E80" s="38"/>
      <c r="F80" s="39"/>
      <c r="G80" s="3"/>
    </row>
    <row r="81" spans="1:7" x14ac:dyDescent="0.3">
      <c r="A81" s="38"/>
      <c r="B81" s="38"/>
      <c r="C81" s="38"/>
      <c r="D81" s="39"/>
      <c r="E81" s="38"/>
      <c r="F81" s="39"/>
      <c r="G81" s="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9D65-FBBD-4CEE-A059-28DAA0414C32}">
  <dimension ref="A2:J14"/>
  <sheetViews>
    <sheetView showGridLines="0" topLeftCell="D1" workbookViewId="0">
      <selection activeCell="J15" sqref="J15"/>
    </sheetView>
  </sheetViews>
  <sheetFormatPr defaultColWidth="38.88671875" defaultRowHeight="14.4" x14ac:dyDescent="0.3"/>
  <cols>
    <col min="1" max="3" width="38.88671875" style="34"/>
    <col min="4" max="4" width="6.33203125" style="34" bestFit="1" customWidth="1"/>
    <col min="5" max="5" width="35.44140625" style="34" bestFit="1" customWidth="1"/>
    <col min="6" max="6" width="7.6640625" style="34" bestFit="1" customWidth="1"/>
    <col min="7" max="7" width="9" style="15" bestFit="1" customWidth="1"/>
    <col min="8" max="8" width="5.33203125" style="16" bestFit="1" customWidth="1"/>
    <col min="9" max="9" width="9.88671875" style="16" bestFit="1" customWidth="1"/>
    <col min="10" max="10" width="11.44140625" style="4" bestFit="1" customWidth="1"/>
    <col min="11" max="16384" width="38.88671875" style="34"/>
  </cols>
  <sheetData>
    <row r="2" spans="1:10" ht="18" x14ac:dyDescent="0.3">
      <c r="A2" s="36"/>
      <c r="B2" s="36"/>
      <c r="C2" s="37"/>
      <c r="D2" s="26" t="s">
        <v>16</v>
      </c>
      <c r="E2" s="26" t="s">
        <v>0</v>
      </c>
      <c r="F2" s="27" t="s">
        <v>1</v>
      </c>
      <c r="G2" s="27" t="s">
        <v>29</v>
      </c>
      <c r="H2" s="27" t="s">
        <v>2</v>
      </c>
      <c r="I2" s="27" t="s">
        <v>12</v>
      </c>
      <c r="J2" s="14" t="s">
        <v>13</v>
      </c>
    </row>
    <row r="3" spans="1:10" x14ac:dyDescent="0.3">
      <c r="A3" s="38"/>
      <c r="B3" s="38"/>
      <c r="C3" s="38"/>
      <c r="D3" s="28" t="s">
        <v>210</v>
      </c>
      <c r="E3" s="28" t="s">
        <v>211</v>
      </c>
      <c r="F3" s="28" t="s">
        <v>212</v>
      </c>
      <c r="G3" s="29">
        <v>44465</v>
      </c>
      <c r="H3" s="28" t="s">
        <v>41</v>
      </c>
      <c r="I3" s="29">
        <v>44465</v>
      </c>
      <c r="J3" s="1">
        <v>2740</v>
      </c>
    </row>
    <row r="4" spans="1:10" ht="18" x14ac:dyDescent="0.3">
      <c r="A4" s="38"/>
      <c r="B4" s="38"/>
      <c r="C4" s="38"/>
      <c r="D4" s="28" t="s">
        <v>213</v>
      </c>
      <c r="E4" s="28" t="s">
        <v>45</v>
      </c>
      <c r="F4" s="28" t="s">
        <v>214</v>
      </c>
      <c r="G4" s="29">
        <v>44531</v>
      </c>
      <c r="H4" s="28" t="s">
        <v>41</v>
      </c>
      <c r="I4" s="29">
        <v>44531</v>
      </c>
      <c r="J4" s="1">
        <v>2500</v>
      </c>
    </row>
    <row r="5" spans="1:10" ht="18" x14ac:dyDescent="0.3">
      <c r="A5" s="38"/>
      <c r="B5" s="38"/>
      <c r="C5" s="38"/>
      <c r="D5" s="28" t="s">
        <v>215</v>
      </c>
      <c r="E5" s="28" t="s">
        <v>216</v>
      </c>
      <c r="F5" s="28" t="s">
        <v>217</v>
      </c>
      <c r="G5" s="29">
        <v>45108</v>
      </c>
      <c r="H5" s="28"/>
      <c r="I5" s="29">
        <v>45108</v>
      </c>
      <c r="J5" s="1">
        <v>20000</v>
      </c>
    </row>
    <row r="6" spans="1:10" x14ac:dyDescent="0.3">
      <c r="A6" s="38"/>
      <c r="B6" s="38"/>
      <c r="C6" s="38"/>
      <c r="D6" s="28" t="s">
        <v>218</v>
      </c>
      <c r="E6" s="28" t="s">
        <v>216</v>
      </c>
      <c r="F6" s="28" t="s">
        <v>219</v>
      </c>
      <c r="G6" s="29">
        <v>45186</v>
      </c>
      <c r="H6" s="28"/>
      <c r="I6" s="29">
        <v>45552</v>
      </c>
      <c r="J6" s="1">
        <v>10000</v>
      </c>
    </row>
    <row r="7" spans="1:10" x14ac:dyDescent="0.3">
      <c r="D7" s="28" t="s">
        <v>220</v>
      </c>
      <c r="E7" s="28" t="s">
        <v>56</v>
      </c>
      <c r="F7" s="28" t="s">
        <v>221</v>
      </c>
      <c r="G7" s="29">
        <v>45434</v>
      </c>
      <c r="H7" s="28"/>
      <c r="I7" s="29">
        <v>45434</v>
      </c>
      <c r="J7" s="1">
        <v>15000</v>
      </c>
    </row>
    <row r="8" spans="1:10" x14ac:dyDescent="0.3">
      <c r="D8" s="28" t="s">
        <v>222</v>
      </c>
      <c r="E8" s="28" t="s">
        <v>31</v>
      </c>
      <c r="F8" s="28" t="s">
        <v>223</v>
      </c>
      <c r="G8" s="29">
        <v>45477</v>
      </c>
      <c r="H8" s="28"/>
      <c r="I8" s="29">
        <v>45477</v>
      </c>
      <c r="J8" s="1">
        <v>20000</v>
      </c>
    </row>
    <row r="9" spans="1:10" ht="18" x14ac:dyDescent="0.3">
      <c r="D9" s="28" t="s">
        <v>224</v>
      </c>
      <c r="E9" s="28" t="s">
        <v>225</v>
      </c>
      <c r="F9" s="28" t="s">
        <v>226</v>
      </c>
      <c r="G9" s="29">
        <v>45479</v>
      </c>
      <c r="H9" s="28"/>
      <c r="I9" s="29">
        <v>45479</v>
      </c>
      <c r="J9" s="1">
        <v>80000</v>
      </c>
    </row>
    <row r="10" spans="1:10" ht="18" x14ac:dyDescent="0.3">
      <c r="D10" s="28" t="s">
        <v>227</v>
      </c>
      <c r="E10" s="28" t="s">
        <v>228</v>
      </c>
      <c r="F10" s="28" t="s">
        <v>229</v>
      </c>
      <c r="G10" s="29">
        <v>45482</v>
      </c>
      <c r="H10" s="28"/>
      <c r="I10" s="29">
        <v>45482</v>
      </c>
      <c r="J10" s="1">
        <v>70000</v>
      </c>
    </row>
    <row r="11" spans="1:10" x14ac:dyDescent="0.3">
      <c r="D11" s="28" t="s">
        <v>230</v>
      </c>
      <c r="E11" s="28" t="s">
        <v>53</v>
      </c>
      <c r="F11" s="28" t="s">
        <v>54</v>
      </c>
      <c r="G11" s="29">
        <v>45513</v>
      </c>
      <c r="H11" s="28"/>
      <c r="I11" s="29">
        <v>45513</v>
      </c>
      <c r="J11" s="1">
        <v>10000</v>
      </c>
    </row>
    <row r="12" spans="1:10" ht="18" x14ac:dyDescent="0.3">
      <c r="D12" s="28" t="s">
        <v>179</v>
      </c>
      <c r="E12" s="28" t="s">
        <v>136</v>
      </c>
      <c r="F12" s="28" t="s">
        <v>180</v>
      </c>
      <c r="G12" s="29">
        <v>45526</v>
      </c>
      <c r="H12" s="28"/>
      <c r="I12" s="29">
        <v>45526</v>
      </c>
      <c r="J12" s="1">
        <v>800</v>
      </c>
    </row>
    <row r="13" spans="1:10" x14ac:dyDescent="0.3">
      <c r="D13" s="28" t="s">
        <v>183</v>
      </c>
      <c r="E13" s="28" t="s">
        <v>136</v>
      </c>
      <c r="F13" s="28" t="s">
        <v>184</v>
      </c>
      <c r="G13" s="29">
        <v>45528</v>
      </c>
      <c r="H13" s="28"/>
      <c r="I13" s="29">
        <v>45528</v>
      </c>
      <c r="J13" s="1">
        <v>700</v>
      </c>
    </row>
    <row r="14" spans="1:10" x14ac:dyDescent="0.3">
      <c r="J14" s="4">
        <f>SUM(J3:J13)</f>
        <v>231740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Acidentes</vt:lpstr>
      <vt:lpstr>Complementos</vt:lpstr>
      <vt:lpstr>Créditos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dos Santos Assis | R Fonseca Advogados</dc:creator>
  <cp:lastModifiedBy>Gabriel dos Santos Assis | R Fonseca Advogados</cp:lastModifiedBy>
  <dcterms:created xsi:type="dcterms:W3CDTF">2025-08-05T13:47:46Z</dcterms:created>
  <dcterms:modified xsi:type="dcterms:W3CDTF">2026-03-20T19:33:47Z</dcterms:modified>
</cp:coreProperties>
</file>